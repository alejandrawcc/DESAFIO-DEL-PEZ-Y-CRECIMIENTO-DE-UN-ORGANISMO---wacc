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esktop\UNIVERSITY\7_SEMESTER\"/>
    </mc:Choice>
  </mc:AlternateContent>
  <xr:revisionPtr revIDLastSave="0" documentId="8_{1611080A-94D1-48C5-86C1-053B6D02E531}" xr6:coauthVersionLast="47" xr6:coauthVersionMax="47" xr10:uidLastSave="{00000000-0000-0000-0000-000000000000}"/>
  <bookViews>
    <workbookView xWindow="-108" yWindow="-108" windowWidth="23256" windowHeight="12456" activeTab="2" xr2:uid="{00000000-000D-0000-FFFF-FFFF00000000}"/>
  </bookViews>
  <sheets>
    <sheet name="ORGANISMOS" sheetId="3" r:id="rId1"/>
    <sheet name="PEZ" sheetId="4" r:id="rId2"/>
    <sheet name="CONCLUSIÓN" sheetId="5" r:id="rId3"/>
  </sheets>
  <calcPr calcId="191029"/>
</workbook>
</file>

<file path=xl/calcChain.xml><?xml version="1.0" encoding="utf-8"?>
<calcChain xmlns="http://schemas.openxmlformats.org/spreadsheetml/2006/main">
  <c r="G15" i="4" l="1"/>
  <c r="F15" i="4"/>
  <c r="D15" i="4"/>
  <c r="C15" i="4"/>
  <c r="B15" i="4"/>
  <c r="B16" i="4" s="1"/>
  <c r="F15" i="3"/>
  <c r="G15" i="3" s="1"/>
  <c r="D15" i="3"/>
  <c r="E15" i="3" s="1"/>
  <c r="D16" i="3" s="1"/>
  <c r="C15" i="3"/>
  <c r="B15" i="3"/>
  <c r="B16" i="3" s="1"/>
  <c r="B17" i="4" l="1"/>
  <c r="C16" i="4"/>
  <c r="H15" i="4"/>
  <c r="I15" i="4" s="1"/>
  <c r="J15" i="4" s="1"/>
  <c r="F16" i="4" s="1"/>
  <c r="E15" i="4"/>
  <c r="D16" i="4" s="1"/>
  <c r="E16" i="3"/>
  <c r="D17" i="3" s="1"/>
  <c r="E17" i="3" s="1"/>
  <c r="D18" i="3" s="1"/>
  <c r="E18" i="3" s="1"/>
  <c r="D19" i="3" s="1"/>
  <c r="C16" i="3"/>
  <c r="B17" i="3"/>
  <c r="H15" i="3"/>
  <c r="I15" i="3" s="1"/>
  <c r="J15" i="3" s="1"/>
  <c r="F16" i="3" s="1"/>
  <c r="E16" i="4" l="1"/>
  <c r="D17" i="4" s="1"/>
  <c r="G16" i="4"/>
  <c r="H16" i="4"/>
  <c r="I16" i="4" s="1"/>
  <c r="J16" i="4" s="1"/>
  <c r="F17" i="4" s="1"/>
  <c r="C17" i="4"/>
  <c r="B18" i="4"/>
  <c r="G16" i="3"/>
  <c r="H16" i="3" s="1"/>
  <c r="I16" i="3" s="1"/>
  <c r="J16" i="3" s="1"/>
  <c r="F17" i="3" s="1"/>
  <c r="B18" i="3"/>
  <c r="C17" i="3"/>
  <c r="E19" i="3"/>
  <c r="D20" i="3" s="1"/>
  <c r="E17" i="4" l="1"/>
  <c r="D18" i="4"/>
  <c r="J17" i="4"/>
  <c r="F18" i="4" s="1"/>
  <c r="G17" i="4"/>
  <c r="H17" i="4" s="1"/>
  <c r="I17" i="4" s="1"/>
  <c r="B19" i="4"/>
  <c r="C18" i="4"/>
  <c r="G17" i="3"/>
  <c r="H17" i="3" s="1"/>
  <c r="I17" i="3" s="1"/>
  <c r="J17" i="3" s="1"/>
  <c r="F18" i="3" s="1"/>
  <c r="C18" i="3"/>
  <c r="B19" i="3"/>
  <c r="E20" i="3"/>
  <c r="D21" i="3"/>
  <c r="E18" i="4" l="1"/>
  <c r="D19" i="4" s="1"/>
  <c r="E19" i="4" s="1"/>
  <c r="D20" i="4" s="1"/>
  <c r="E20" i="4" s="1"/>
  <c r="D21" i="4" s="1"/>
  <c r="E21" i="4" s="1"/>
  <c r="D22" i="4" s="1"/>
  <c r="C19" i="4"/>
  <c r="B20" i="4"/>
  <c r="G18" i="4"/>
  <c r="H18" i="4" s="1"/>
  <c r="I18" i="4" s="1"/>
  <c r="J18" i="4" s="1"/>
  <c r="F19" i="4" s="1"/>
  <c r="G18" i="3"/>
  <c r="H18" i="3" s="1"/>
  <c r="I18" i="3" s="1"/>
  <c r="C19" i="3"/>
  <c r="B20" i="3"/>
  <c r="E21" i="3"/>
  <c r="D22" i="3" s="1"/>
  <c r="G19" i="4" l="1"/>
  <c r="H19" i="4" s="1"/>
  <c r="I19" i="4" s="1"/>
  <c r="C20" i="4"/>
  <c r="B21" i="4"/>
  <c r="C20" i="3"/>
  <c r="B21" i="3"/>
  <c r="J18" i="3"/>
  <c r="F19" i="3" s="1"/>
  <c r="G19" i="3" s="1"/>
  <c r="H19" i="3" s="1"/>
  <c r="I19" i="3" s="1"/>
  <c r="J19" i="3" s="1"/>
  <c r="F20" i="3" s="1"/>
  <c r="E22" i="4"/>
  <c r="D23" i="4" s="1"/>
  <c r="E22" i="3"/>
  <c r="D23" i="3" s="1"/>
  <c r="J19" i="4" l="1"/>
  <c r="F20" i="4" s="1"/>
  <c r="C21" i="4"/>
  <c r="B22" i="4"/>
  <c r="C21" i="3"/>
  <c r="B22" i="3"/>
  <c r="E23" i="4"/>
  <c r="D24" i="4" s="1"/>
  <c r="E23" i="3"/>
  <c r="D24" i="3" s="1"/>
  <c r="G20" i="3"/>
  <c r="H20" i="3" s="1"/>
  <c r="I20" i="3" s="1"/>
  <c r="G20" i="4" l="1"/>
  <c r="H20" i="4" s="1"/>
  <c r="I20" i="4" s="1"/>
  <c r="C22" i="4"/>
  <c r="B23" i="4"/>
  <c r="C22" i="3"/>
  <c r="B23" i="3"/>
  <c r="E24" i="4"/>
  <c r="D25" i="4" s="1"/>
  <c r="E24" i="3"/>
  <c r="D25" i="3" s="1"/>
  <c r="J20" i="3"/>
  <c r="F21" i="3" s="1"/>
  <c r="C23" i="4" l="1"/>
  <c r="B24" i="4"/>
  <c r="J20" i="4"/>
  <c r="F21" i="4" s="1"/>
  <c r="C23" i="3"/>
  <c r="B24" i="3"/>
  <c r="D26" i="4"/>
  <c r="E25" i="4"/>
  <c r="G21" i="3"/>
  <c r="H21" i="3" s="1"/>
  <c r="I21" i="3" s="1"/>
  <c r="E25" i="3"/>
  <c r="D26" i="3" s="1"/>
  <c r="C24" i="4" l="1"/>
  <c r="B25" i="4"/>
  <c r="G21" i="4"/>
  <c r="H21" i="4" s="1"/>
  <c r="I21" i="4" s="1"/>
  <c r="J21" i="4" s="1"/>
  <c r="F22" i="4" s="1"/>
  <c r="J21" i="3"/>
  <c r="F22" i="3" s="1"/>
  <c r="C24" i="3"/>
  <c r="B25" i="3"/>
  <c r="E26" i="4"/>
  <c r="D27" i="4" s="1"/>
  <c r="E26" i="3"/>
  <c r="D27" i="3" s="1"/>
  <c r="G22" i="3"/>
  <c r="H22" i="3" s="1"/>
  <c r="I22" i="3" s="1"/>
  <c r="J22" i="3" s="1"/>
  <c r="F23" i="3" s="1"/>
  <c r="G22" i="4" l="1"/>
  <c r="J22" i="4" s="1"/>
  <c r="F23" i="4" s="1"/>
  <c r="H22" i="4"/>
  <c r="I22" i="4" s="1"/>
  <c r="C25" i="4"/>
  <c r="B26" i="4"/>
  <c r="B26" i="3"/>
  <c r="C25" i="3"/>
  <c r="E27" i="4"/>
  <c r="D28" i="4" s="1"/>
  <c r="G23" i="3"/>
  <c r="H23" i="3" s="1"/>
  <c r="I23" i="3" s="1"/>
  <c r="J23" i="3" s="1"/>
  <c r="F24" i="3" s="1"/>
  <c r="E27" i="3"/>
  <c r="D28" i="3"/>
  <c r="G23" i="4" l="1"/>
  <c r="H23" i="4"/>
  <c r="I23" i="4" s="1"/>
  <c r="C26" i="4"/>
  <c r="B27" i="4"/>
  <c r="E28" i="3"/>
  <c r="D29" i="3" s="1"/>
  <c r="E29" i="3" s="1"/>
  <c r="D30" i="3" s="1"/>
  <c r="E30" i="3" s="1"/>
  <c r="D31" i="3" s="1"/>
  <c r="E31" i="3" s="1"/>
  <c r="D32" i="3" s="1"/>
  <c r="E32" i="3" s="1"/>
  <c r="D33" i="3" s="1"/>
  <c r="E33" i="3" s="1"/>
  <c r="D34" i="3" s="1"/>
  <c r="E34" i="3" s="1"/>
  <c r="D35" i="3" s="1"/>
  <c r="E35" i="3" s="1"/>
  <c r="C26" i="3"/>
  <c r="B27" i="3"/>
  <c r="E28" i="4"/>
  <c r="D29" i="4" s="1"/>
  <c r="G24" i="3"/>
  <c r="H24" i="3" s="1"/>
  <c r="I24" i="3" s="1"/>
  <c r="C27" i="4" l="1"/>
  <c r="B28" i="4"/>
  <c r="J23" i="4"/>
  <c r="F24" i="4" s="1"/>
  <c r="C27" i="3"/>
  <c r="B28" i="3"/>
  <c r="E29" i="4"/>
  <c r="D30" i="4" s="1"/>
  <c r="J24" i="3"/>
  <c r="F25" i="3" s="1"/>
  <c r="G24" i="4" l="1"/>
  <c r="H24" i="4" s="1"/>
  <c r="I24" i="4" s="1"/>
  <c r="C28" i="4"/>
  <c r="B29" i="4"/>
  <c r="C28" i="3"/>
  <c r="B29" i="3"/>
  <c r="E30" i="4"/>
  <c r="D31" i="4" s="1"/>
  <c r="G25" i="3"/>
  <c r="C29" i="4" l="1"/>
  <c r="B30" i="4"/>
  <c r="J24" i="4"/>
  <c r="F25" i="4" s="1"/>
  <c r="H25" i="3"/>
  <c r="I25" i="3" s="1"/>
  <c r="J25" i="3" s="1"/>
  <c r="F26" i="3" s="1"/>
  <c r="B30" i="3"/>
  <c r="C29" i="3"/>
  <c r="E31" i="4"/>
  <c r="D32" i="4" s="1"/>
  <c r="G25" i="4" l="1"/>
  <c r="H25" i="4" s="1"/>
  <c r="I25" i="4" s="1"/>
  <c r="J25" i="4" s="1"/>
  <c r="F26" i="4" s="1"/>
  <c r="C30" i="4"/>
  <c r="B31" i="4"/>
  <c r="G26" i="3"/>
  <c r="C30" i="3"/>
  <c r="B31" i="3"/>
  <c r="E32" i="4"/>
  <c r="D33" i="4" s="1"/>
  <c r="G26" i="4" l="1"/>
  <c r="H26" i="4" s="1"/>
  <c r="I26" i="4" s="1"/>
  <c r="J26" i="4" s="1"/>
  <c r="F27" i="4" s="1"/>
  <c r="C31" i="4"/>
  <c r="B32" i="4"/>
  <c r="C31" i="3"/>
  <c r="B32" i="3"/>
  <c r="H26" i="3"/>
  <c r="I26" i="3" s="1"/>
  <c r="J26" i="3" s="1"/>
  <c r="F27" i="3" s="1"/>
  <c r="E33" i="4"/>
  <c r="D34" i="4" s="1"/>
  <c r="G27" i="4" l="1"/>
  <c r="H27" i="4" s="1"/>
  <c r="I27" i="4" s="1"/>
  <c r="B33" i="4"/>
  <c r="C32" i="4"/>
  <c r="G27" i="3"/>
  <c r="H27" i="3" s="1"/>
  <c r="I27" i="3" s="1"/>
  <c r="J27" i="3" s="1"/>
  <c r="F28" i="3" s="1"/>
  <c r="G28" i="3" s="1"/>
  <c r="H28" i="3" s="1"/>
  <c r="I28" i="3" s="1"/>
  <c r="B33" i="3"/>
  <c r="C32" i="3"/>
  <c r="E34" i="4"/>
  <c r="D35" i="4" s="1"/>
  <c r="C33" i="4" l="1"/>
  <c r="B34" i="4"/>
  <c r="J27" i="4"/>
  <c r="F28" i="4" s="1"/>
  <c r="C33" i="3"/>
  <c r="B34" i="3"/>
  <c r="E35" i="4"/>
  <c r="D36" i="4" s="1"/>
  <c r="J28" i="3"/>
  <c r="F29" i="3" s="1"/>
  <c r="G28" i="4" l="1"/>
  <c r="H28" i="4"/>
  <c r="I28" i="4" s="1"/>
  <c r="J28" i="4"/>
  <c r="F29" i="4" s="1"/>
  <c r="C34" i="4"/>
  <c r="B35" i="4"/>
  <c r="G29" i="3"/>
  <c r="H29" i="3" s="1"/>
  <c r="I29" i="3" s="1"/>
  <c r="J29" i="3" s="1"/>
  <c r="F30" i="3" s="1"/>
  <c r="B35" i="3"/>
  <c r="C35" i="3" s="1"/>
  <c r="C34" i="3"/>
  <c r="E36" i="4"/>
  <c r="D37" i="4" s="1"/>
  <c r="B36" i="4" l="1"/>
  <c r="C35" i="4"/>
  <c r="G29" i="4"/>
  <c r="H29" i="4" s="1"/>
  <c r="I29" i="4" s="1"/>
  <c r="J29" i="4" s="1"/>
  <c r="F30" i="4" s="1"/>
  <c r="G30" i="4" s="1"/>
  <c r="H30" i="4" s="1"/>
  <c r="I30" i="4" s="1"/>
  <c r="J30" i="4" s="1"/>
  <c r="F31" i="4" s="1"/>
  <c r="G30" i="3"/>
  <c r="H30" i="3"/>
  <c r="I30" i="3" s="1"/>
  <c r="J30" i="3" s="1"/>
  <c r="F31" i="3" s="1"/>
  <c r="G31" i="3" s="1"/>
  <c r="H31" i="3" s="1"/>
  <c r="I31" i="3" s="1"/>
  <c r="J31" i="3" s="1"/>
  <c r="F32" i="3" s="1"/>
  <c r="E37" i="4"/>
  <c r="D38" i="4" s="1"/>
  <c r="G31" i="4" l="1"/>
  <c r="H31" i="4"/>
  <c r="I31" i="4" s="1"/>
  <c r="B37" i="4"/>
  <c r="C36" i="4"/>
  <c r="G32" i="3"/>
  <c r="H32" i="3" s="1"/>
  <c r="I32" i="3" s="1"/>
  <c r="J32" i="3"/>
  <c r="F33" i="3" s="1"/>
  <c r="E38" i="4"/>
  <c r="D39" i="4" s="1"/>
  <c r="C37" i="4" l="1"/>
  <c r="B38" i="4"/>
  <c r="J31" i="4"/>
  <c r="F32" i="4" s="1"/>
  <c r="G33" i="3"/>
  <c r="H33" i="3" s="1"/>
  <c r="I33" i="3" s="1"/>
  <c r="E39" i="4"/>
  <c r="D40" i="4"/>
  <c r="G32" i="4" l="1"/>
  <c r="J32" i="4" s="1"/>
  <c r="F33" i="4" s="1"/>
  <c r="H32" i="4"/>
  <c r="I32" i="4" s="1"/>
  <c r="C38" i="4"/>
  <c r="B39" i="4"/>
  <c r="J33" i="3"/>
  <c r="F34" i="3" s="1"/>
  <c r="E40" i="4"/>
  <c r="D41" i="4" s="1"/>
  <c r="G33" i="4" l="1"/>
  <c r="H33" i="4"/>
  <c r="I33" i="4" s="1"/>
  <c r="J33" i="4" s="1"/>
  <c r="F34" i="4" s="1"/>
  <c r="C39" i="4"/>
  <c r="B40" i="4"/>
  <c r="G34" i="3"/>
  <c r="H34" i="3" s="1"/>
  <c r="I34" i="3" s="1"/>
  <c r="E41" i="4"/>
  <c r="D42" i="4" s="1"/>
  <c r="G34" i="4"/>
  <c r="H34" i="4"/>
  <c r="I34" i="4" s="1"/>
  <c r="J34" i="4" l="1"/>
  <c r="F35" i="4" s="1"/>
  <c r="C40" i="4"/>
  <c r="B41" i="4"/>
  <c r="J34" i="3"/>
  <c r="F35" i="3" s="1"/>
  <c r="G35" i="4"/>
  <c r="H35" i="4" s="1"/>
  <c r="I35" i="4" s="1"/>
  <c r="E42" i="4"/>
  <c r="D43" i="4"/>
  <c r="C41" i="4" l="1"/>
  <c r="B42" i="4"/>
  <c r="G35" i="3"/>
  <c r="H35" i="3" s="1"/>
  <c r="I35" i="3" s="1"/>
  <c r="J35" i="3" s="1"/>
  <c r="E43" i="4"/>
  <c r="D44" i="4" s="1"/>
  <c r="J35" i="4"/>
  <c r="F36" i="4" s="1"/>
  <c r="B43" i="4" l="1"/>
  <c r="C42" i="4"/>
  <c r="E44" i="4"/>
  <c r="D45" i="4" s="1"/>
  <c r="G36" i="4"/>
  <c r="H36" i="4" s="1"/>
  <c r="I36" i="4" s="1"/>
  <c r="J36" i="4" s="1"/>
  <c r="F37" i="4" s="1"/>
  <c r="B44" i="4" l="1"/>
  <c r="C43" i="4"/>
  <c r="G37" i="4"/>
  <c r="H37" i="4"/>
  <c r="I37" i="4" s="1"/>
  <c r="J37" i="4"/>
  <c r="F38" i="4" s="1"/>
  <c r="E45" i="4"/>
  <c r="D46" i="4" s="1"/>
  <c r="C44" i="4" l="1"/>
  <c r="B45" i="4"/>
  <c r="E46" i="4"/>
  <c r="D47" i="4"/>
  <c r="G38" i="4"/>
  <c r="H38" i="4" s="1"/>
  <c r="I38" i="4" s="1"/>
  <c r="J38" i="4" l="1"/>
  <c r="F39" i="4" s="1"/>
  <c r="G39" i="4" s="1"/>
  <c r="C45" i="4"/>
  <c r="B46" i="4"/>
  <c r="E47" i="4"/>
  <c r="D48" i="4" s="1"/>
  <c r="J39" i="4" l="1"/>
  <c r="F40" i="4" s="1"/>
  <c r="G40" i="4" s="1"/>
  <c r="H40" i="4" s="1"/>
  <c r="I40" i="4" s="1"/>
  <c r="H39" i="4"/>
  <c r="I39" i="4" s="1"/>
  <c r="C46" i="4"/>
  <c r="B47" i="4"/>
  <c r="E48" i="4"/>
  <c r="D49" i="4" s="1"/>
  <c r="C47" i="4" l="1"/>
  <c r="B48" i="4"/>
  <c r="E49" i="4"/>
  <c r="D50" i="4" s="1"/>
  <c r="J40" i="4"/>
  <c r="F41" i="4" s="1"/>
  <c r="C48" i="4" l="1"/>
  <c r="B49" i="4"/>
  <c r="E50" i="4"/>
  <c r="D51" i="4" s="1"/>
  <c r="G41" i="4"/>
  <c r="C49" i="4" l="1"/>
  <c r="B50" i="4"/>
  <c r="E51" i="4"/>
  <c r="D52" i="4" s="1"/>
  <c r="H41" i="4"/>
  <c r="I41" i="4" s="1"/>
  <c r="J41" i="4" s="1"/>
  <c r="F42" i="4" s="1"/>
  <c r="C50" i="4" l="1"/>
  <c r="B51" i="4"/>
  <c r="G42" i="4"/>
  <c r="E52" i="4"/>
  <c r="D53" i="4" s="1"/>
  <c r="H42" i="4" l="1"/>
  <c r="I42" i="4" s="1"/>
  <c r="J42" i="4" s="1"/>
  <c r="F43" i="4" s="1"/>
  <c r="G43" i="4" s="1"/>
  <c r="H43" i="4" s="1"/>
  <c r="I43" i="4" s="1"/>
  <c r="J43" i="4" s="1"/>
  <c r="F44" i="4" s="1"/>
  <c r="C51" i="4"/>
  <c r="B52" i="4"/>
  <c r="E53" i="4"/>
  <c r="D54" i="4" s="1"/>
  <c r="C52" i="4" l="1"/>
  <c r="B53" i="4"/>
  <c r="G44" i="4"/>
  <c r="H44" i="4" s="1"/>
  <c r="I44" i="4" s="1"/>
  <c r="J44" i="4" s="1"/>
  <c r="F45" i="4" s="1"/>
  <c r="E54" i="4"/>
  <c r="D55" i="4"/>
  <c r="E55" i="4" s="1"/>
  <c r="B54" i="4" l="1"/>
  <c r="C53" i="4"/>
  <c r="G45" i="4"/>
  <c r="H45" i="4" s="1"/>
  <c r="I45" i="4" s="1"/>
  <c r="J45" i="4" s="1"/>
  <c r="F46" i="4" s="1"/>
  <c r="B55" i="4" l="1"/>
  <c r="C55" i="4" s="1"/>
  <c r="C54" i="4"/>
  <c r="G46" i="4"/>
  <c r="H46" i="4" l="1"/>
  <c r="I46" i="4" s="1"/>
  <c r="J46" i="4" s="1"/>
  <c r="F47" i="4" s="1"/>
  <c r="G47" i="4" l="1"/>
  <c r="H47" i="4" l="1"/>
  <c r="I47" i="4" s="1"/>
  <c r="J47" i="4" s="1"/>
  <c r="F48" i="4" s="1"/>
  <c r="G48" i="4" l="1"/>
  <c r="H48" i="4" l="1"/>
  <c r="I48" i="4" s="1"/>
  <c r="J48" i="4" s="1"/>
  <c r="F49" i="4" s="1"/>
  <c r="G49" i="4" l="1"/>
  <c r="H49" i="4" s="1"/>
  <c r="I49" i="4" s="1"/>
  <c r="J49" i="4" s="1"/>
  <c r="F50" i="4" s="1"/>
  <c r="G50" i="4" l="1"/>
  <c r="H50" i="4" s="1"/>
  <c r="I50" i="4" s="1"/>
  <c r="J50" i="4" s="1"/>
  <c r="F51" i="4" s="1"/>
  <c r="G51" i="4" l="1"/>
  <c r="H51" i="4" l="1"/>
  <c r="I51" i="4" s="1"/>
  <c r="J51" i="4" s="1"/>
  <c r="F52" i="4" s="1"/>
  <c r="G52" i="4" l="1"/>
  <c r="H52" i="4" l="1"/>
  <c r="I52" i="4" s="1"/>
  <c r="J52" i="4" s="1"/>
  <c r="F53" i="4" s="1"/>
  <c r="G53" i="4" l="1"/>
  <c r="H53" i="4" s="1"/>
  <c r="I53" i="4" s="1"/>
  <c r="J53" i="4" l="1"/>
  <c r="F54" i="4" s="1"/>
  <c r="G54" i="4" l="1"/>
  <c r="H54" i="4"/>
  <c r="I54" i="4" s="1"/>
  <c r="J54" i="4" l="1"/>
  <c r="F55" i="4" s="1"/>
  <c r="G55" i="4"/>
  <c r="H55" i="4" s="1"/>
  <c r="I55" i="4" s="1"/>
  <c r="J55" i="4" s="1"/>
</calcChain>
</file>

<file path=xl/sharedStrings.xml><?xml version="1.0" encoding="utf-8"?>
<sst xmlns="http://schemas.openxmlformats.org/spreadsheetml/2006/main" count="28" uniqueCount="22">
  <si>
    <t>k</t>
  </si>
  <si>
    <t>h</t>
  </si>
  <si>
    <t>t0</t>
  </si>
  <si>
    <t>m0</t>
  </si>
  <si>
    <t>mamax</t>
  </si>
  <si>
    <t>t (Tiempo)</t>
  </si>
  <si>
    <t>M. Exacto</t>
  </si>
  <si>
    <t>Euler (m)</t>
  </si>
  <si>
    <t>Euler (pendiente)</t>
  </si>
  <si>
    <t>Heun (m)</t>
  </si>
  <si>
    <t>Heun (k1)</t>
  </si>
  <si>
    <t>Heun (Pred)</t>
  </si>
  <si>
    <t>Heun (k2)</t>
  </si>
  <si>
    <t>Heun (Final)</t>
  </si>
  <si>
    <t>a</t>
  </si>
  <si>
    <t>b</t>
  </si>
  <si>
    <t>w0</t>
  </si>
  <si>
    <t>t (Días)</t>
  </si>
  <si>
    <t>Exacto</t>
  </si>
  <si>
    <t>Euler (w)</t>
  </si>
  <si>
    <t>Euler (pend)</t>
  </si>
  <si>
    <t>Heun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</si>
</sst>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7"/>
      <name val="Arial"/>
      <family val="2"/>
    </font>
    <font>
      <sz val="8"/>
      <color rgb="FF1F1F1F"/>
      <name val="Arial"/>
      <family val="2"/>
    </font>
    <font>
      <sz val="10"/>
      <color theme="1"/>
      <name val="Arial Unicode MS"/>
    </font>
  </fonts>
  <fills count="4">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sz="1600" b="1" i="0" u="none" strike="noStrike" baseline="0"/>
              <a:t>Crecimiento del Organismo vs. Tiempo</a:t>
            </a:r>
            <a:endParaRPr lang="es-ES" sz="1600" b="1" i="0" u="none" strike="noStrike" kern="1200" baseline="0">
              <a:solidFill>
                <a:srgbClr val="1F497D"/>
              </a:solidFill>
            </a:endParaRPr>
          </a:p>
        </c:rich>
      </c:tx>
      <c:layout>
        <c:manualLayout>
          <c:xMode val="edge"/>
          <c:yMode val="edge"/>
          <c:x val="0.12930555555555553"/>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scatterChart>
        <c:scatterStyle val="lineMarker"/>
        <c:varyColors val="0"/>
        <c:ser>
          <c:idx val="0"/>
          <c:order val="0"/>
          <c:tx>
            <c:strRef>
              <c:f>ORGANISMOS!$D$14</c:f>
              <c:strCache>
                <c:ptCount val="1"/>
                <c:pt idx="0">
                  <c:v>Euler (m)</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c:spPr>
          </c:marker>
          <c:xVal>
            <c:numRef>
              <c:f>ORGANISMOS!$C$15:$C$35</c:f>
              <c:numCache>
                <c:formatCode>General</c:formatCode>
                <c:ptCount val="21"/>
                <c:pt idx="0">
                  <c:v>1</c:v>
                </c:pt>
                <c:pt idx="1">
                  <c:v>14.66218192543435</c:v>
                </c:pt>
                <c:pt idx="2">
                  <c:v>47.414171381012579</c:v>
                </c:pt>
                <c:pt idx="3">
                  <c:v>91.097640206791141</c:v>
                </c:pt>
                <c:pt idx="4">
                  <c:v>135.83836700992967</c:v>
                </c:pt>
                <c:pt idx="5">
                  <c:v>175.60046114433572</c:v>
                </c:pt>
                <c:pt idx="6">
                  <c:v>208.09226689289264</c:v>
                </c:pt>
                <c:pt idx="7">
                  <c:v>233.2827329567624</c:v>
                </c:pt>
                <c:pt idx="8">
                  <c:v>252.15694606615767</c:v>
                </c:pt>
                <c:pt idx="9">
                  <c:v>265.98141977142052</c:v>
                </c:pt>
                <c:pt idx="10">
                  <c:v>275.953388230754</c:v>
                </c:pt>
                <c:pt idx="11">
                  <c:v>283.07177753248936</c:v>
                </c:pt>
                <c:pt idx="12">
                  <c:v>288.11690033091929</c:v>
                </c:pt>
                <c:pt idx="13">
                  <c:v>291.67498123996745</c:v>
                </c:pt>
                <c:pt idx="14">
                  <c:v>294.1757563830904</c:v>
                </c:pt>
                <c:pt idx="15">
                  <c:v>295.92924564874346</c:v>
                </c:pt>
                <c:pt idx="16">
                  <c:v>297.15672911573921</c:v>
                </c:pt>
                <c:pt idx="17">
                  <c:v>298.01501147462045</c:v>
                </c:pt>
                <c:pt idx="18">
                  <c:v>298.6146617495499</c:v>
                </c:pt>
                <c:pt idx="19">
                  <c:v>299.03338243464492</c:v>
                </c:pt>
                <c:pt idx="20">
                  <c:v>299.32565129174293</c:v>
                </c:pt>
              </c:numCache>
            </c:numRef>
          </c:xVal>
          <c:yVal>
            <c:numRef>
              <c:f>ORGANISMOS!$D$15:$D$35</c:f>
              <c:numCache>
                <c:formatCode>General</c:formatCode>
                <c:ptCount val="21"/>
                <c:pt idx="0">
                  <c:v>1</c:v>
                </c:pt>
                <c:pt idx="1">
                  <c:v>5.5583131515191475</c:v>
                </c:pt>
                <c:pt idx="2">
                  <c:v>19.264900550537401</c:v>
                </c:pt>
                <c:pt idx="3">
                  <c:v>46.663912469412324</c:v>
                </c:pt>
                <c:pt idx="4">
                  <c:v>86.513245246540805</c:v>
                </c:pt>
                <c:pt idx="5">
                  <c:v>131.98966668863952</c:v>
                </c:pt>
                <c:pt idx="6">
                  <c:v>175.34674295854921</c:v>
                </c:pt>
                <c:pt idx="7">
                  <c:v>211.66924823473727</c:v>
                </c:pt>
                <c:pt idx="8">
                  <c:v>239.47040350011628</c:v>
                </c:pt>
                <c:pt idx="9">
                  <c:v>259.47899669775842</c:v>
                </c:pt>
                <c:pt idx="10">
                  <c:v>273.29879974247513</c:v>
                </c:pt>
                <c:pt idx="11">
                  <c:v>282.58874179305553</c:v>
                </c:pt>
                <c:pt idx="12">
                  <c:v>288.7241442823842</c:v>
                </c:pt>
                <c:pt idx="13">
                  <c:v>292.73000873297093</c:v>
                </c:pt>
                <c:pt idx="14">
                  <c:v>295.32621606314302</c:v>
                </c:pt>
                <c:pt idx="15">
                  <c:v>297.00084339152579</c:v>
                </c:pt>
                <c:pt idx="16">
                  <c:v>298.07773511044121</c:v>
                </c:pt>
                <c:pt idx="17">
                  <c:v>298.7688919085702</c:v>
                </c:pt>
                <c:pt idx="18">
                  <c:v>299.21192599327429</c:v>
                </c:pt>
                <c:pt idx="19">
                  <c:v>299.49568486466904</c:v>
                </c:pt>
                <c:pt idx="20">
                  <c:v>299.67733632459846</c:v>
                </c:pt>
              </c:numCache>
            </c:numRef>
          </c:yVal>
          <c:smooth val="0"/>
          <c:extLst>
            <c:ext xmlns:c16="http://schemas.microsoft.com/office/drawing/2014/chart" uri="{C3380CC4-5D6E-409C-BE32-E72D297353CC}">
              <c16:uniqueId val="{00000000-D2C5-40F6-B47D-91AFADE8331F}"/>
            </c:ext>
          </c:extLst>
        </c:ser>
        <c:ser>
          <c:idx val="1"/>
          <c:order val="1"/>
          <c:tx>
            <c:strRef>
              <c:f>ORGANISMOS!$J$14</c:f>
              <c:strCache>
                <c:ptCount val="1"/>
                <c:pt idx="0">
                  <c:v>Heun (Final)</c:v>
                </c:pt>
              </c:strCache>
            </c:strRef>
          </c:tx>
          <c:spPr>
            <a:ln w="95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c:spPr>
          </c:marker>
          <c:xVal>
            <c:numRef>
              <c:f>ORGANISMOS!$C$15:$C$35</c:f>
              <c:numCache>
                <c:formatCode>General</c:formatCode>
                <c:ptCount val="21"/>
                <c:pt idx="0">
                  <c:v>1</c:v>
                </c:pt>
                <c:pt idx="1">
                  <c:v>14.66218192543435</c:v>
                </c:pt>
                <c:pt idx="2">
                  <c:v>47.414171381012579</c:v>
                </c:pt>
                <c:pt idx="3">
                  <c:v>91.097640206791141</c:v>
                </c:pt>
                <c:pt idx="4">
                  <c:v>135.83836700992967</c:v>
                </c:pt>
                <c:pt idx="5">
                  <c:v>175.60046114433572</c:v>
                </c:pt>
                <c:pt idx="6">
                  <c:v>208.09226689289264</c:v>
                </c:pt>
                <c:pt idx="7">
                  <c:v>233.2827329567624</c:v>
                </c:pt>
                <c:pt idx="8">
                  <c:v>252.15694606615767</c:v>
                </c:pt>
                <c:pt idx="9">
                  <c:v>265.98141977142052</c:v>
                </c:pt>
                <c:pt idx="10">
                  <c:v>275.953388230754</c:v>
                </c:pt>
                <c:pt idx="11">
                  <c:v>283.07177753248936</c:v>
                </c:pt>
                <c:pt idx="12">
                  <c:v>288.11690033091929</c:v>
                </c:pt>
                <c:pt idx="13">
                  <c:v>291.67498123996745</c:v>
                </c:pt>
                <c:pt idx="14">
                  <c:v>294.1757563830904</c:v>
                </c:pt>
                <c:pt idx="15">
                  <c:v>295.92924564874346</c:v>
                </c:pt>
                <c:pt idx="16">
                  <c:v>297.15672911573921</c:v>
                </c:pt>
                <c:pt idx="17">
                  <c:v>298.01501147462045</c:v>
                </c:pt>
                <c:pt idx="18">
                  <c:v>298.6146617495499</c:v>
                </c:pt>
                <c:pt idx="19">
                  <c:v>299.03338243464492</c:v>
                </c:pt>
                <c:pt idx="20">
                  <c:v>299.32565129174293</c:v>
                </c:pt>
              </c:numCache>
            </c:numRef>
          </c:xVal>
          <c:yVal>
            <c:numRef>
              <c:f>ORGANISMOS!$J$15:$J$35</c:f>
              <c:numCache>
                <c:formatCode>General</c:formatCode>
                <c:ptCount val="21"/>
                <c:pt idx="0">
                  <c:v>10.132450275268699</c:v>
                </c:pt>
                <c:pt idx="1">
                  <c:v>36.599685065678457</c:v>
                </c:pt>
                <c:pt idx="2">
                  <c:v>77.164320408612213</c:v>
                </c:pt>
                <c:pt idx="3">
                  <c:v>121.82453832704002</c:v>
                </c:pt>
                <c:pt idx="4">
                  <c:v>163.07637089947025</c:v>
                </c:pt>
                <c:pt idx="5">
                  <c:v>197.58844524237935</c:v>
                </c:pt>
                <c:pt idx="6">
                  <c:v>224.80091474196951</c:v>
                </c:pt>
                <c:pt idx="7">
                  <c:v>245.47507145425195</c:v>
                </c:pt>
                <c:pt idx="8">
                  <c:v>260.80765995861259</c:v>
                </c:pt>
                <c:pt idx="9">
                  <c:v>271.99791156932747</c:v>
                </c:pt>
                <c:pt idx="10">
                  <c:v>280.07684337038171</c:v>
                </c:pt>
                <c:pt idx="11">
                  <c:v>285.86637065894377</c:v>
                </c:pt>
                <c:pt idx="12">
                  <c:v>289.99404560347352</c:v>
                </c:pt>
                <c:pt idx="13">
                  <c:v>292.92643140170611</c:v>
                </c:pt>
                <c:pt idx="14">
                  <c:v>295.00449002899592</c:v>
                </c:pt>
                <c:pt idx="15">
                  <c:v>296.4745656114751</c:v>
                </c:pt>
                <c:pt idx="16">
                  <c:v>297.51327094512931</c:v>
                </c:pt>
                <c:pt idx="17">
                  <c:v>298.24655719015891</c:v>
                </c:pt>
                <c:pt idx="18">
                  <c:v>298.76391809705342</c:v>
                </c:pt>
                <c:pt idx="19">
                  <c:v>299.12878127811155</c:v>
                </c:pt>
                <c:pt idx="20">
                  <c:v>299.38602053651988</c:v>
                </c:pt>
              </c:numCache>
            </c:numRef>
          </c:yVal>
          <c:smooth val="0"/>
          <c:extLst>
            <c:ext xmlns:c16="http://schemas.microsoft.com/office/drawing/2014/chart" uri="{C3380CC4-5D6E-409C-BE32-E72D297353CC}">
              <c16:uniqueId val="{00000001-D2C5-40F6-B47D-91AFADE8331F}"/>
            </c:ext>
          </c:extLst>
        </c:ser>
        <c:ser>
          <c:idx val="2"/>
          <c:order val="2"/>
          <c:tx>
            <c:v>tiempo</c:v>
          </c:tx>
          <c:spPr>
            <a:ln w="9525" cap="rnd">
              <a:solidFill>
                <a:schemeClr val="accent3"/>
              </a:solidFill>
              <a:round/>
            </a:ln>
            <a:effectLst>
              <a:outerShdw blurRad="40000" dist="23000" dir="5400000" rotWithShape="0">
                <a:srgbClr val="000000">
                  <a:alpha val="35000"/>
                </a:srgbClr>
              </a:outerShdw>
            </a:effectLst>
          </c:spPr>
          <c:marker>
            <c:symbol val="circ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c:spPr>
          </c:marker>
          <c:xVal>
            <c:strRef>
              <c:f>ORGANISMOS!$B$14:$B$35</c:f>
              <c:strCache>
                <c:ptCount val="22"/>
                <c:pt idx="0">
                  <c:v>t (Tiempo)</c:v>
                </c:pt>
                <c:pt idx="1">
                  <c:v>0</c:v>
                </c:pt>
                <c:pt idx="2">
                  <c:v>20</c:v>
                </c:pt>
                <c:pt idx="3">
                  <c:v>40</c:v>
                </c:pt>
                <c:pt idx="4">
                  <c:v>60</c:v>
                </c:pt>
                <c:pt idx="5">
                  <c:v>80</c:v>
                </c:pt>
                <c:pt idx="6">
                  <c:v>100</c:v>
                </c:pt>
                <c:pt idx="7">
                  <c:v>120</c:v>
                </c:pt>
                <c:pt idx="8">
                  <c:v>140</c:v>
                </c:pt>
                <c:pt idx="9">
                  <c:v>160</c:v>
                </c:pt>
                <c:pt idx="10">
                  <c:v>180</c:v>
                </c:pt>
                <c:pt idx="11">
                  <c:v>200</c:v>
                </c:pt>
                <c:pt idx="12">
                  <c:v>220</c:v>
                </c:pt>
                <c:pt idx="13">
                  <c:v>240</c:v>
                </c:pt>
                <c:pt idx="14">
                  <c:v>260</c:v>
                </c:pt>
                <c:pt idx="15">
                  <c:v>280</c:v>
                </c:pt>
                <c:pt idx="16">
                  <c:v>300</c:v>
                </c:pt>
                <c:pt idx="17">
                  <c:v>320</c:v>
                </c:pt>
                <c:pt idx="18">
                  <c:v>340</c:v>
                </c:pt>
                <c:pt idx="19">
                  <c:v>360</c:v>
                </c:pt>
                <c:pt idx="20">
                  <c:v>380</c:v>
                </c:pt>
                <c:pt idx="21">
                  <c:v>400</c:v>
                </c:pt>
              </c:strCache>
            </c:strRef>
          </c:xVal>
          <c:yVal>
            <c:numLit>
              <c:formatCode>General</c:formatCode>
              <c:ptCount val="1"/>
              <c:pt idx="0">
                <c:v>1</c:v>
              </c:pt>
            </c:numLit>
          </c:yVal>
          <c:smooth val="0"/>
          <c:extLst>
            <c:ext xmlns:c16="http://schemas.microsoft.com/office/drawing/2014/chart" uri="{C3380CC4-5D6E-409C-BE32-E72D297353CC}">
              <c16:uniqueId val="{00000004-D2C5-40F6-B47D-91AFADE8331F}"/>
            </c:ext>
          </c:extLst>
        </c:ser>
        <c:dLbls>
          <c:showLegendKey val="0"/>
          <c:showVal val="0"/>
          <c:showCatName val="0"/>
          <c:showSerName val="0"/>
          <c:showPercent val="0"/>
          <c:showBubbleSize val="0"/>
        </c:dLbls>
        <c:axId val="405761167"/>
        <c:axId val="405764047"/>
      </c:scatterChart>
      <c:valAx>
        <c:axId val="4057611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405764047"/>
        <c:crosses val="autoZero"/>
        <c:crossBetween val="midCat"/>
      </c:valAx>
      <c:valAx>
        <c:axId val="4057640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4057611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a:t>Crecimiento del Pez</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scatterChart>
        <c:scatterStyle val="lineMarker"/>
        <c:varyColors val="0"/>
        <c:ser>
          <c:idx val="0"/>
          <c:order val="0"/>
          <c:tx>
            <c:strRef>
              <c:f>PEZ!$D$14</c:f>
              <c:strCache>
                <c:ptCount val="1"/>
                <c:pt idx="0">
                  <c:v>Euler (w)</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c:spPr>
          </c:marker>
          <c:xVal>
            <c:numRef>
              <c:f>PEZ!$C$15:$C$55</c:f>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f>PEZ!$D$15:$D$55</c:f>
              <c:numCache>
                <c:formatCode>General</c:formatCode>
                <c:ptCount val="41"/>
                <c:pt idx="0">
                  <c:v>0.5</c:v>
                </c:pt>
                <c:pt idx="1">
                  <c:v>1.0374506561842958</c:v>
                </c:pt>
                <c:pt idx="2">
                  <c:v>1.799742582669293</c:v>
                </c:pt>
                <c:pt idx="3">
                  <c:v>2.7493539968431651</c:v>
                </c:pt>
                <c:pt idx="4">
                  <c:v>3.8278628658398715</c:v>
                </c:pt>
                <c:pt idx="5">
                  <c:v>4.9727068660984699</c:v>
                </c:pt>
                <c:pt idx="6">
                  <c:v>6.1280625409480312</c:v>
                </c:pt>
                <c:pt idx="7">
                  <c:v>7.2499629808784816</c:v>
                </c:pt>
                <c:pt idx="8">
                  <c:v>8.3073674159364792</c:v>
                </c:pt>
                <c:pt idx="9">
                  <c:v>9.2809470693282528</c:v>
                </c:pt>
                <c:pt idx="10">
                  <c:v>10.160886199576899</c:v>
                </c:pt>
                <c:pt idx="11">
                  <c:v>10.944494088698526</c:v>
                </c:pt>
                <c:pt idx="12">
                  <c:v>11.634040553291499</c:v>
                </c:pt>
                <c:pt idx="13">
                  <c:v>12.234981102058519</c:v>
                </c:pt>
                <c:pt idx="14">
                  <c:v>12.754598505095567</c:v>
                </c:pt>
                <c:pt idx="15">
                  <c:v>13.201019407562168</c:v>
                </c:pt>
                <c:pt idx="16">
                  <c:v>13.582538881168897</c:v>
                </c:pt>
                <c:pt idx="17">
                  <c:v>13.907182788623345</c:v>
                </c:pt>
                <c:pt idx="18">
                  <c:v>14.18244541815837</c:v>
                </c:pt>
                <c:pt idx="19">
                  <c:v>14.415151170693777</c:v>
                </c:pt>
                <c:pt idx="20">
                  <c:v>14.611400620926755</c:v>
                </c:pt>
                <c:pt idx="21">
                  <c:v>14.776571446418124</c:v>
                </c:pt>
                <c:pt idx="22">
                  <c:v>14.91535300987602</c:v>
                </c:pt>
                <c:pt idx="23">
                  <c:v>15.031799803337876</c:v>
                </c:pt>
                <c:pt idx="24">
                  <c:v>15.129393760183161</c:v>
                </c:pt>
                <c:pt idx="25">
                  <c:v>15.211108920533722</c:v>
                </c:pt>
                <c:pt idx="26">
                  <c:v>15.279474396208911</c:v>
                </c:pt>
                <c:pt idx="27">
                  <c:v>15.336633279740761</c:v>
                </c:pt>
                <c:pt idx="28">
                  <c:v>15.384396284668943</c:v>
                </c:pt>
                <c:pt idx="29">
                  <c:v>15.424289650790598</c:v>
                </c:pt>
                <c:pt idx="30">
                  <c:v>15.457597317449546</c:v>
                </c:pt>
                <c:pt idx="31">
                  <c:v>15.485397647429558</c:v>
                </c:pt>
                <c:pt idx="32">
                  <c:v>15.508595136018997</c:v>
                </c:pt>
                <c:pt idx="33">
                  <c:v>15.527947608358463</c:v>
                </c:pt>
                <c:pt idx="34">
                  <c:v>15.54408942380487</c:v>
                </c:pt>
                <c:pt idx="35">
                  <c:v>15.557551189584796</c:v>
                </c:pt>
                <c:pt idx="36">
                  <c:v>15.568776451437353</c:v>
                </c:pt>
                <c:pt idx="37">
                  <c:v>15.57813578543011</c:v>
                </c:pt>
                <c:pt idx="38">
                  <c:v>15.585938668525429</c:v>
                </c:pt>
                <c:pt idx="39">
                  <c:v>15.592443459378794</c:v>
                </c:pt>
                <c:pt idx="40">
                  <c:v>15.597865777354038</c:v>
                </c:pt>
              </c:numCache>
            </c:numRef>
          </c:yVal>
          <c:smooth val="0"/>
          <c:extLst>
            <c:ext xmlns:c16="http://schemas.microsoft.com/office/drawing/2014/chart" uri="{C3380CC4-5D6E-409C-BE32-E72D297353CC}">
              <c16:uniqueId val="{00000000-A8D3-464A-9F43-7B85AA02CAFF}"/>
            </c:ext>
          </c:extLst>
        </c:ser>
        <c:ser>
          <c:idx val="6"/>
          <c:order val="6"/>
          <c:tx>
            <c:strRef>
              <c:f>PEZ!$J$14</c:f>
              <c:strCache>
                <c:ptCount val="1"/>
                <c:pt idx="0">
                  <c:v>Heun (Final)</c:v>
                </c:pt>
              </c:strCache>
            </c:strRef>
          </c:tx>
          <c:spPr>
            <a:ln w="9525" cap="rnd">
              <a:solidFill>
                <a:schemeClr val="accent1">
                  <a:lumMod val="60000"/>
                </a:schemeClr>
              </a:solidFill>
              <a:round/>
            </a:ln>
            <a:effectLst>
              <a:outerShdw blurRad="40000" dist="23000" dir="5400000" rotWithShape="0">
                <a:srgbClr val="000000">
                  <a:alpha val="35000"/>
                </a:srgbClr>
              </a:outerShdw>
            </a:effectLst>
          </c:spPr>
          <c:marker>
            <c:symbol val="circle"/>
            <c:size val="5"/>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c:spPr>
          </c:marker>
          <c:xVal>
            <c:numRef>
              <c:f>PEZ!$C$15:$C$55</c:f>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f>PEZ!$J$15:$J$55</c:f>
              <c:numCache>
                <c:formatCode>General</c:formatCode>
                <c:ptCount val="41"/>
                <c:pt idx="0">
                  <c:v>1.1498712913346465</c:v>
                </c:pt>
                <c:pt idx="1">
                  <c:v>2.0361470526822183</c:v>
                </c:pt>
                <c:pt idx="2">
                  <c:v>3.0822135134263666</c:v>
                </c:pt>
                <c:pt idx="3">
                  <c:v>4.2122306460576944</c:v>
                </c:pt>
                <c:pt idx="4">
                  <c:v>5.3634351272879828</c:v>
                </c:pt>
                <c:pt idx="5">
                  <c:v>6.4891084627886331</c:v>
                </c:pt>
                <c:pt idx="6">
                  <c:v>7.5574278532248842</c:v>
                </c:pt>
                <c:pt idx="7">
                  <c:v>8.5488304877861747</c:v>
                </c:pt>
                <c:pt idx="8">
                  <c:v>9.4531328581470735</c:v>
                </c:pt>
                <c:pt idx="9">
                  <c:v>10.266936230089293</c:v>
                </c:pt>
                <c:pt idx="10">
                  <c:v>10.991497699452228</c:v>
                </c:pt>
                <c:pt idx="11">
                  <c:v>11.631081207101412</c:v>
                </c:pt>
                <c:pt idx="12">
                  <c:v>12.191733453245028</c:v>
                </c:pt>
                <c:pt idx="13">
                  <c:v>12.680407732533453</c:v>
                </c:pt>
                <c:pt idx="14">
                  <c:v>13.104359044531511</c:v>
                </c:pt>
                <c:pt idx="15">
                  <c:v>13.470743377200154</c:v>
                </c:pt>
                <c:pt idx="16">
                  <c:v>13.786366310709248</c:v>
                </c:pt>
                <c:pt idx="17">
                  <c:v>14.057538008934477</c:v>
                </c:pt>
                <c:pt idx="18">
                  <c:v>14.290002020218655</c:v>
                </c:pt>
                <c:pt idx="19">
                  <c:v>14.488913760398763</c:v>
                </c:pt>
                <c:pt idx="20">
                  <c:v>14.65885118087253</c:v>
                </c:pt>
                <c:pt idx="21">
                  <c:v>14.803845181238698</c:v>
                </c:pt>
                <c:pt idx="22">
                  <c:v>14.927421100639005</c:v>
                </c:pt>
                <c:pt idx="23">
                  <c:v>15.032645389409232</c:v>
                </c:pt>
                <c:pt idx="24">
                  <c:v>15.122173559409479</c:v>
                </c:pt>
                <c:pt idx="25">
                  <c:v>15.198296929886448</c:v>
                </c:pt>
                <c:pt idx="26">
                  <c:v>15.262986677182665</c:v>
                </c:pt>
                <c:pt idx="27">
                  <c:v>15.317934377054829</c:v>
                </c:pt>
                <c:pt idx="28">
                  <c:v>15.364588685139719</c:v>
                </c:pt>
                <c:pt idx="29">
                  <c:v>15.404188099019763</c:v>
                </c:pt>
                <c:pt idx="30">
                  <c:v>15.437789931892324</c:v>
                </c:pt>
                <c:pt idx="31">
                  <c:v>15.466295737476294</c:v>
                </c:pt>
                <c:pt idx="32">
                  <c:v>15.490473483211376</c:v>
                </c:pt>
                <c:pt idx="33">
                  <c:v>15.510976791576606</c:v>
                </c:pt>
                <c:pt idx="34">
                  <c:v>15.528361569813065</c:v>
                </c:pt>
                <c:pt idx="35">
                  <c:v>15.54310033504861</c:v>
                </c:pt>
                <c:pt idx="36">
                  <c:v>15.555594520653326</c:v>
                </c:pt>
                <c:pt idx="37">
                  <c:v>15.566185024547206</c:v>
                </c:pt>
                <c:pt idx="38">
                  <c:v>15.575161233726458</c:v>
                </c:pt>
                <c:pt idx="39">
                  <c:v>15.582768733119487</c:v>
                </c:pt>
                <c:pt idx="40">
                  <c:v>15.589215882025098</c:v>
                </c:pt>
              </c:numCache>
            </c:numRef>
          </c:yVal>
          <c:smooth val="0"/>
          <c:extLst>
            <c:ext xmlns:c16="http://schemas.microsoft.com/office/drawing/2014/chart" uri="{C3380CC4-5D6E-409C-BE32-E72D297353CC}">
              <c16:uniqueId val="{00000006-A8D3-464A-9F43-7B85AA02CAFF}"/>
            </c:ext>
          </c:extLst>
        </c:ser>
        <c:dLbls>
          <c:showLegendKey val="0"/>
          <c:showVal val="0"/>
          <c:showCatName val="0"/>
          <c:showSerName val="0"/>
          <c:showPercent val="0"/>
          <c:showBubbleSize val="0"/>
        </c:dLbls>
        <c:axId val="396440463"/>
        <c:axId val="396442863"/>
        <c:extLst>
          <c:ext xmlns:c15="http://schemas.microsoft.com/office/drawing/2012/chart" uri="{02D57815-91ED-43cb-92C2-25804820EDAC}">
            <c15:filteredScatterSeries>
              <c15:ser>
                <c:idx val="1"/>
                <c:order val="1"/>
                <c:tx>
                  <c:strRef>
                    <c:extLst>
                      <c:ext uri="{02D57815-91ED-43cb-92C2-25804820EDAC}">
                        <c15:formulaRef>
                          <c15:sqref>PEZ!$E$14</c15:sqref>
                        </c15:formulaRef>
                      </c:ext>
                    </c:extLst>
                    <c:strCache>
                      <c:ptCount val="1"/>
                      <c:pt idx="0">
                        <c:v>Euler (pend)</c:v>
                      </c:pt>
                    </c:strCache>
                  </c:strRef>
                </c:tx>
                <c:spPr>
                  <a:ln w="9525" cap="rnd">
                    <a:solidFill>
                      <a:schemeClr val="accent2"/>
                    </a:solidFill>
                    <a:round/>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c:spPr>
                </c:marker>
                <c:xVal>
                  <c:numRef>
                    <c:extLst>
                      <c:ext uri="{02D57815-91ED-43cb-92C2-25804820EDAC}">
                        <c15:formulaRef>
                          <c15:sqref>PEZ!$C$15:$C$55</c15:sqref>
                        </c15:formulaRef>
                      </c:ext>
                    </c:extLst>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extLst>
                      <c:ext uri="{02D57815-91ED-43cb-92C2-25804820EDAC}">
                        <c15:formulaRef>
                          <c15:sqref>PEZ!$E$15:$E$55</c15:sqref>
                        </c15:formulaRef>
                      </c:ext>
                    </c:extLst>
                    <c:numCache>
                      <c:formatCode>General</c:formatCode>
                      <c:ptCount val="41"/>
                      <c:pt idx="0">
                        <c:v>2.1498026247371831</c:v>
                      </c:pt>
                      <c:pt idx="1">
                        <c:v>3.0491677059399884</c:v>
                      </c:pt>
                      <c:pt idx="2">
                        <c:v>3.7984456566954883</c:v>
                      </c:pt>
                      <c:pt idx="3">
                        <c:v>4.3140354759868247</c:v>
                      </c:pt>
                      <c:pt idx="4">
                        <c:v>4.579376001034392</c:v>
                      </c:pt>
                      <c:pt idx="5">
                        <c:v>4.6214226993982468</c:v>
                      </c:pt>
                      <c:pt idx="6">
                        <c:v>4.4876017597218016</c:v>
                      </c:pt>
                      <c:pt idx="7">
                        <c:v>4.2296177402319923</c:v>
                      </c:pt>
                      <c:pt idx="8">
                        <c:v>3.8943186135670977</c:v>
                      </c:pt>
                      <c:pt idx="9">
                        <c:v>3.5197565209945836</c:v>
                      </c:pt>
                      <c:pt idx="10">
                        <c:v>3.1344315564865148</c:v>
                      </c:pt>
                      <c:pt idx="11">
                        <c:v>2.7581858583718883</c:v>
                      </c:pt>
                      <c:pt idx="12">
                        <c:v>2.4037621950680865</c:v>
                      </c:pt>
                      <c:pt idx="13">
                        <c:v>2.07846961214819</c:v>
                      </c:pt>
                      <c:pt idx="14">
                        <c:v>1.7856836098664068</c:v>
                      </c:pt>
                      <c:pt idx="15">
                        <c:v>1.5260778944269191</c:v>
                      </c:pt>
                      <c:pt idx="16">
                        <c:v>1.2985756298177904</c:v>
                      </c:pt>
                      <c:pt idx="17">
                        <c:v>1.1010505181400987</c:v>
                      </c:pt>
                      <c:pt idx="18">
                        <c:v>0.93082301014162994</c:v>
                      </c:pt>
                      <c:pt idx="19">
                        <c:v>0.78499780093190807</c:v>
                      </c:pt>
                      <c:pt idx="20">
                        <c:v>0.6606833019654772</c:v>
                      </c:pt>
                      <c:pt idx="21">
                        <c:v>0.5551262538315811</c:v>
                      </c:pt>
                      <c:pt idx="22">
                        <c:v>0.46578717384742774</c:v>
                      </c:pt>
                      <c:pt idx="23">
                        <c:v>0.39037582738114196</c:v>
                      </c:pt>
                      <c:pt idx="24">
                        <c:v>0.32686064140223792</c:v>
                      </c:pt>
                      <c:pt idx="25">
                        <c:v>0.2734619027007561</c:v>
                      </c:pt>
                      <c:pt idx="26">
                        <c:v>0.2286355341273989</c:v>
                      </c:pt>
                      <c:pt idx="27">
                        <c:v>0.19105201971272834</c:v>
                      </c:pt>
                      <c:pt idx="28">
                        <c:v>0.15957346448661625</c:v>
                      </c:pt>
                      <c:pt idx="29">
                        <c:v>0.13323066663578942</c:v>
                      </c:pt>
                      <c:pt idx="30">
                        <c:v>0.111201319920049</c:v>
                      </c:pt>
                      <c:pt idx="31">
                        <c:v>9.2789954357755278E-2</c:v>
                      </c:pt>
                      <c:pt idx="32">
                        <c:v>7.7409889357866746E-2</c:v>
                      </c:pt>
                      <c:pt idx="33">
                        <c:v>6.4567261785629881E-2</c:v>
                      </c:pt>
                      <c:pt idx="34">
                        <c:v>5.3847063119700778E-2</c:v>
                      </c:pt>
                      <c:pt idx="35">
                        <c:v>4.4901047410228045E-2</c:v>
                      </c:pt>
                      <c:pt idx="36">
                        <c:v>3.7437335971024055E-2</c:v>
                      </c:pt>
                      <c:pt idx="37">
                        <c:v>3.1211532381277607E-2</c:v>
                      </c:pt>
                      <c:pt idx="38">
                        <c:v>2.6019163413458557E-2</c:v>
                      </c:pt>
                      <c:pt idx="39">
                        <c:v>2.1689271900974916E-2</c:v>
                      </c:pt>
                      <c:pt idx="40">
                        <c:v>1.8079002334594918E-2</c:v>
                      </c:pt>
                    </c:numCache>
                  </c:numRef>
                </c:yVal>
                <c:smooth val="0"/>
                <c:extLst>
                  <c:ext xmlns:c16="http://schemas.microsoft.com/office/drawing/2014/chart" uri="{C3380CC4-5D6E-409C-BE32-E72D297353CC}">
                    <c16:uniqueId val="{00000001-A8D3-464A-9F43-7B85AA02CAFF}"/>
                  </c:ext>
                </c:extLst>
              </c15:ser>
            </c15:filteredScatterSeries>
            <c15:filteredScatterSeries>
              <c15:ser>
                <c:idx val="2"/>
                <c:order val="2"/>
                <c:tx>
                  <c:strRef>
                    <c:extLst>
                      <c:ext xmlns:c15="http://schemas.microsoft.com/office/drawing/2012/chart" uri="{02D57815-91ED-43cb-92C2-25804820EDAC}">
                        <c15:formulaRef>
                          <c15:sqref>PEZ!$F$14</c15:sqref>
                        </c15:formulaRef>
                      </c:ext>
                    </c:extLst>
                    <c:strCache>
                      <c:ptCount val="1"/>
                      <c:pt idx="0">
                        <c:v>Heun (w)</c:v>
                      </c:pt>
                    </c:strCache>
                  </c:strRef>
                </c:tx>
                <c:spPr>
                  <a:ln w="9525" cap="rnd">
                    <a:solidFill>
                      <a:schemeClr val="accent3"/>
                    </a:solidFill>
                    <a:round/>
                  </a:ln>
                  <a:effectLst>
                    <a:outerShdw blurRad="40000" dist="23000" dir="5400000" rotWithShape="0">
                      <a:srgbClr val="000000">
                        <a:alpha val="35000"/>
                      </a:srgbClr>
                    </a:outerShdw>
                  </a:effectLst>
                </c:spPr>
                <c:marker>
                  <c:symbol val="circ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c:spPr>
                </c:marker>
                <c:xVal>
                  <c:numRef>
                    <c:extLst>
                      <c:ext xmlns:c15="http://schemas.microsoft.com/office/drawing/2012/chart" uri="{02D57815-91ED-43cb-92C2-25804820EDAC}">
                        <c15:formulaRef>
                          <c15:sqref>PEZ!$C$15:$C$55</c15:sqref>
                        </c15:formulaRef>
                      </c:ext>
                    </c:extLst>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extLst>
                      <c:ext xmlns:c15="http://schemas.microsoft.com/office/drawing/2012/chart" uri="{02D57815-91ED-43cb-92C2-25804820EDAC}">
                        <c15:formulaRef>
                          <c15:sqref>PEZ!$F$15:$F$55</c15:sqref>
                        </c15:formulaRef>
                      </c:ext>
                    </c:extLst>
                    <c:numCache>
                      <c:formatCode>General</c:formatCode>
                      <c:ptCount val="41"/>
                      <c:pt idx="0">
                        <c:v>0.5</c:v>
                      </c:pt>
                      <c:pt idx="1">
                        <c:v>1.1498712913346465</c:v>
                      </c:pt>
                      <c:pt idx="2">
                        <c:v>2.0361470526822183</c:v>
                      </c:pt>
                      <c:pt idx="3">
                        <c:v>3.0822135134263666</c:v>
                      </c:pt>
                      <c:pt idx="4">
                        <c:v>4.2122306460576944</c:v>
                      </c:pt>
                      <c:pt idx="5">
                        <c:v>5.3634351272879828</c:v>
                      </c:pt>
                      <c:pt idx="6">
                        <c:v>6.4891084627886331</c:v>
                      </c:pt>
                      <c:pt idx="7">
                        <c:v>7.5574278532248842</c:v>
                      </c:pt>
                      <c:pt idx="8">
                        <c:v>8.5488304877861747</c:v>
                      </c:pt>
                      <c:pt idx="9">
                        <c:v>9.4531328581470735</c:v>
                      </c:pt>
                      <c:pt idx="10">
                        <c:v>10.266936230089293</c:v>
                      </c:pt>
                      <c:pt idx="11">
                        <c:v>10.991497699452228</c:v>
                      </c:pt>
                      <c:pt idx="12">
                        <c:v>11.631081207101412</c:v>
                      </c:pt>
                      <c:pt idx="13">
                        <c:v>12.191733453245028</c:v>
                      </c:pt>
                      <c:pt idx="14">
                        <c:v>12.680407732533453</c:v>
                      </c:pt>
                      <c:pt idx="15">
                        <c:v>13.104359044531511</c:v>
                      </c:pt>
                      <c:pt idx="16">
                        <c:v>13.470743377200154</c:v>
                      </c:pt>
                      <c:pt idx="17">
                        <c:v>13.786366310709248</c:v>
                      </c:pt>
                      <c:pt idx="18">
                        <c:v>14.057538008934477</c:v>
                      </c:pt>
                      <c:pt idx="19">
                        <c:v>14.290002020218655</c:v>
                      </c:pt>
                      <c:pt idx="20">
                        <c:v>14.488913760398763</c:v>
                      </c:pt>
                      <c:pt idx="21">
                        <c:v>14.65885118087253</c:v>
                      </c:pt>
                      <c:pt idx="22">
                        <c:v>14.803845181238698</c:v>
                      </c:pt>
                      <c:pt idx="23">
                        <c:v>14.927421100639005</c:v>
                      </c:pt>
                      <c:pt idx="24">
                        <c:v>15.032645389409232</c:v>
                      </c:pt>
                      <c:pt idx="25">
                        <c:v>15.122173559409479</c:v>
                      </c:pt>
                      <c:pt idx="26">
                        <c:v>15.198296929886448</c:v>
                      </c:pt>
                      <c:pt idx="27">
                        <c:v>15.262986677182665</c:v>
                      </c:pt>
                      <c:pt idx="28">
                        <c:v>15.317934377054829</c:v>
                      </c:pt>
                      <c:pt idx="29">
                        <c:v>15.364588685139719</c:v>
                      </c:pt>
                      <c:pt idx="30">
                        <c:v>15.404188099019763</c:v>
                      </c:pt>
                      <c:pt idx="31">
                        <c:v>15.437789931892324</c:v>
                      </c:pt>
                      <c:pt idx="32">
                        <c:v>15.466295737476294</c:v>
                      </c:pt>
                      <c:pt idx="33">
                        <c:v>15.490473483211376</c:v>
                      </c:pt>
                      <c:pt idx="34">
                        <c:v>15.510976791576606</c:v>
                      </c:pt>
                      <c:pt idx="35">
                        <c:v>15.528361569813065</c:v>
                      </c:pt>
                      <c:pt idx="36">
                        <c:v>15.54310033504861</c:v>
                      </c:pt>
                      <c:pt idx="37">
                        <c:v>15.555594520653326</c:v>
                      </c:pt>
                      <c:pt idx="38">
                        <c:v>15.566185024547206</c:v>
                      </c:pt>
                      <c:pt idx="39">
                        <c:v>15.575161233726458</c:v>
                      </c:pt>
                      <c:pt idx="40">
                        <c:v>15.582768733119487</c:v>
                      </c:pt>
                    </c:numCache>
                  </c:numRef>
                </c:yVal>
                <c:smooth val="0"/>
                <c:extLst>
                  <c:ext xmlns:c16="http://schemas.microsoft.com/office/drawing/2014/chart" uri="{C3380CC4-5D6E-409C-BE32-E72D297353CC}">
                    <c16:uniqueId val="{00000002-A8D3-464A-9F43-7B85AA02CAFF}"/>
                  </c:ext>
                </c:extLst>
              </c15:ser>
            </c15:filteredScatterSeries>
            <c15:filteredScatterSeries>
              <c15:ser>
                <c:idx val="3"/>
                <c:order val="3"/>
                <c:tx>
                  <c:strRef>
                    <c:extLst>
                      <c:ext xmlns:c15="http://schemas.microsoft.com/office/drawing/2012/chart" uri="{02D57815-91ED-43cb-92C2-25804820EDAC}">
                        <c15:formulaRef>
                          <c15:sqref>PEZ!$G$14</c15:sqref>
                        </c15:formulaRef>
                      </c:ext>
                    </c:extLst>
                    <c:strCache>
                      <c:ptCount val="1"/>
                      <c:pt idx="0">
                        <c:v>Heun (k1)</c:v>
                      </c:pt>
                    </c:strCache>
                  </c:strRef>
                </c:tx>
                <c:spPr>
                  <a:ln w="9525" cap="rnd">
                    <a:solidFill>
                      <a:schemeClr val="accent4"/>
                    </a:solidFill>
                    <a:round/>
                  </a:ln>
                  <a:effectLst>
                    <a:outerShdw blurRad="40000" dist="23000" dir="5400000" rotWithShape="0">
                      <a:srgbClr val="000000">
                        <a:alpha val="35000"/>
                      </a:srgbClr>
                    </a:outerShdw>
                  </a:effectLst>
                </c:spPr>
                <c:marker>
                  <c:symbol val="circle"/>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c:spPr>
                </c:marker>
                <c:xVal>
                  <c:numRef>
                    <c:extLst>
                      <c:ext xmlns:c15="http://schemas.microsoft.com/office/drawing/2012/chart" uri="{02D57815-91ED-43cb-92C2-25804820EDAC}">
                        <c15:formulaRef>
                          <c15:sqref>PEZ!$C$15:$C$55</c15:sqref>
                        </c15:formulaRef>
                      </c:ext>
                    </c:extLst>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extLst>
                      <c:ext xmlns:c15="http://schemas.microsoft.com/office/drawing/2012/chart" uri="{02D57815-91ED-43cb-92C2-25804820EDAC}">
                        <c15:formulaRef>
                          <c15:sqref>PEZ!$G$15:$G$55</c15:sqref>
                        </c15:formulaRef>
                      </c:ext>
                    </c:extLst>
                    <c:numCache>
                      <c:formatCode>General</c:formatCode>
                      <c:ptCount val="41"/>
                      <c:pt idx="0">
                        <c:v>2.1498026247371831</c:v>
                      </c:pt>
                      <c:pt idx="1">
                        <c:v>3.1881149088048573</c:v>
                      </c:pt>
                      <c:pt idx="2">
                        <c:v>3.9600584888372534</c:v>
                      </c:pt>
                      <c:pt idx="3">
                        <c:v>4.4251468491937409</c:v>
                      </c:pt>
                      <c:pt idx="4">
                        <c:v>4.6165548759912856</c:v>
                      </c:pt>
                      <c:pt idx="5">
                        <c:v>4.5933623450789813</c:v>
                      </c:pt>
                      <c:pt idx="6">
                        <c:v>4.4168735995626331</c:v>
                      </c:pt>
                      <c:pt idx="7">
                        <c:v>4.1405501803357208</c:v>
                      </c:pt>
                      <c:pt idx="8">
                        <c:v>3.8069043439909223</c:v>
                      </c:pt>
                      <c:pt idx="9">
                        <c:v>3.4476621646306818</c:v>
                      </c:pt>
                      <c:pt idx="10">
                        <c:v>3.0852584916320538</c:v>
                      </c:pt>
                      <c:pt idx="11">
                        <c:v>2.7346968048426348</c:v>
                      </c:pt>
                      <c:pt idx="12">
                        <c:v>2.4053272785992554</c:v>
                      </c:pt>
                      <c:pt idx="13">
                        <c:v>2.1023665442140569</c:v>
                      </c:pt>
                      <c:pt idx="14">
                        <c:v>1.8281166186123627</c:v>
                      </c:pt>
                      <c:pt idx="15">
                        <c:v>1.5829017329027373</c:v>
                      </c:pt>
                      <c:pt idx="16">
                        <c:v>1.3657653552371372</c:v>
                      </c:pt>
                      <c:pt idx="17">
                        <c:v>1.1749746212283725</c:v>
                      </c:pt>
                      <c:pt idx="18">
                        <c:v>1.0083758513184264</c:v>
                      </c:pt>
                      <c:pt idx="19">
                        <c:v>0.86363813216400942</c:v>
                      </c:pt>
                      <c:pt idx="20">
                        <c:v>0.73841467477387113</c:v>
                      </c:pt>
                      <c:pt idx="21">
                        <c:v>0.63044500852085505</c:v>
                      </c:pt>
                      <c:pt idx="22">
                        <c:v>0.53761545623359908</c:v>
                      </c:pt>
                      <c:pt idx="23">
                        <c:v>0.45799082429860505</c:v>
                      </c:pt>
                      <c:pt idx="24">
                        <c:v>0.38982673253916644</c:v>
                      </c:pt>
                      <c:pt idx="25">
                        <c:v>0.33156934263348958</c:v>
                      </c:pt>
                      <c:pt idx="26">
                        <c:v>0.28184725521614595</c:v>
                      </c:pt>
                      <c:pt idx="27">
                        <c:v>0.23945888485718214</c:v>
                      </c:pt>
                      <c:pt idx="28">
                        <c:v>0.20335756316752907</c:v>
                      </c:pt>
                      <c:pt idx="29">
                        <c:v>0.17263586242452433</c:v>
                      </c:pt>
                      <c:pt idx="30">
                        <c:v>0.1465100966707098</c:v>
                      </c:pt>
                      <c:pt idx="31">
                        <c:v>0.12430558416336979</c:v>
                      </c:pt>
                      <c:pt idx="32">
                        <c:v>0.10544299923717304</c:v>
                      </c:pt>
                      <c:pt idx="33">
                        <c:v>8.9425969645841263E-2</c:v>
                      </c:pt>
                      <c:pt idx="34">
                        <c:v>7.5829962737330447E-2</c:v>
                      </c:pt>
                      <c:pt idx="35">
                        <c:v>6.4292432562773172E-2</c:v>
                      </c:pt>
                      <c:pt idx="36">
                        <c:v>5.4504157378499229E-2</c:v>
                      </c:pt>
                      <c:pt idx="37">
                        <c:v>4.6201673801050447E-2</c:v>
                      </c:pt>
                      <c:pt idx="38">
                        <c:v>3.9160703618417614E-2</c:v>
                      </c:pt>
                      <c:pt idx="39">
                        <c:v>3.3190467393605871E-2</c:v>
                      </c:pt>
                      <c:pt idx="40">
                        <c:v>2.8128782355075543E-2</c:v>
                      </c:pt>
                    </c:numCache>
                  </c:numRef>
                </c:yVal>
                <c:smooth val="0"/>
                <c:extLst>
                  <c:ext xmlns:c16="http://schemas.microsoft.com/office/drawing/2014/chart" uri="{C3380CC4-5D6E-409C-BE32-E72D297353CC}">
                    <c16:uniqueId val="{00000003-A8D3-464A-9F43-7B85AA02CAFF}"/>
                  </c:ext>
                </c:extLst>
              </c15:ser>
            </c15:filteredScatterSeries>
            <c15:filteredScatterSeries>
              <c15:ser>
                <c:idx val="4"/>
                <c:order val="4"/>
                <c:tx>
                  <c:strRef>
                    <c:extLst>
                      <c:ext xmlns:c15="http://schemas.microsoft.com/office/drawing/2012/chart" uri="{02D57815-91ED-43cb-92C2-25804820EDAC}">
                        <c15:formulaRef>
                          <c15:sqref>PEZ!$H$14</c15:sqref>
                        </c15:formulaRef>
                      </c:ext>
                    </c:extLst>
                    <c:strCache>
                      <c:ptCount val="1"/>
                      <c:pt idx="0">
                        <c:v>Heun (Pred)</c:v>
                      </c:pt>
                    </c:strCache>
                  </c:strRef>
                </c:tx>
                <c:spPr>
                  <a:ln w="9525" cap="rnd">
                    <a:solidFill>
                      <a:schemeClr val="accent5"/>
                    </a:solidFill>
                    <a:round/>
                  </a:ln>
                  <a:effectLst>
                    <a:outerShdw blurRad="40000" dist="23000" dir="5400000" rotWithShape="0">
                      <a:srgbClr val="000000">
                        <a:alpha val="35000"/>
                      </a:srgbClr>
                    </a:outerShdw>
                  </a:effectLst>
                </c:spPr>
                <c:marker>
                  <c:symbol val="circle"/>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c:spPr>
                </c:marker>
                <c:xVal>
                  <c:numRef>
                    <c:extLst>
                      <c:ext xmlns:c15="http://schemas.microsoft.com/office/drawing/2012/chart" uri="{02D57815-91ED-43cb-92C2-25804820EDAC}">
                        <c15:formulaRef>
                          <c15:sqref>PEZ!$C$15:$C$55</c15:sqref>
                        </c15:formulaRef>
                      </c:ext>
                    </c:extLst>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extLst>
                      <c:ext xmlns:c15="http://schemas.microsoft.com/office/drawing/2012/chart" uri="{02D57815-91ED-43cb-92C2-25804820EDAC}">
                        <c15:formulaRef>
                          <c15:sqref>PEZ!$H$15:$H$55</c15:sqref>
                        </c15:formulaRef>
                      </c:ext>
                    </c:extLst>
                    <c:numCache>
                      <c:formatCode>General</c:formatCode>
                      <c:ptCount val="41"/>
                      <c:pt idx="0">
                        <c:v>1.0374506561842958</c:v>
                      </c:pt>
                      <c:pt idx="1">
                        <c:v>1.9469000185358607</c:v>
                      </c:pt>
                      <c:pt idx="2">
                        <c:v>3.0261616748915316</c:v>
                      </c:pt>
                      <c:pt idx="3">
                        <c:v>4.1885002257248019</c:v>
                      </c:pt>
                      <c:pt idx="4">
                        <c:v>5.3663693650555153</c:v>
                      </c:pt>
                      <c:pt idx="5">
                        <c:v>6.5117757135577286</c:v>
                      </c:pt>
                      <c:pt idx="6">
                        <c:v>7.5933268626792909</c:v>
                      </c:pt>
                      <c:pt idx="7">
                        <c:v>8.5925653983088139</c:v>
                      </c:pt>
                      <c:pt idx="8">
                        <c:v>9.5005565737839053</c:v>
                      </c:pt>
                      <c:pt idx="9">
                        <c:v>10.315048399304743</c:v>
                      </c:pt>
                      <c:pt idx="10">
                        <c:v>11.038250852997306</c:v>
                      </c:pt>
                      <c:pt idx="11">
                        <c:v>11.675171900662887</c:v>
                      </c:pt>
                      <c:pt idx="12">
                        <c:v>12.232413026751225</c:v>
                      </c:pt>
                      <c:pt idx="13">
                        <c:v>12.717325089298543</c:v>
                      </c:pt>
                      <c:pt idx="14">
                        <c:v>13.137436887186544</c:v>
                      </c:pt>
                      <c:pt idx="15">
                        <c:v>13.500084477757195</c:v>
                      </c:pt>
                      <c:pt idx="16">
                        <c:v>13.812184716009439</c:v>
                      </c:pt>
                      <c:pt idx="17">
                        <c:v>14.080109966016341</c:v>
                      </c:pt>
                      <c:pt idx="18">
                        <c:v>14.309631971764084</c:v>
                      </c:pt>
                      <c:pt idx="19">
                        <c:v>14.505911553259658</c:v>
                      </c:pt>
                      <c:pt idx="20">
                        <c:v>14.673517429092231</c:v>
                      </c:pt>
                      <c:pt idx="21">
                        <c:v>14.816462433002744</c:v>
                      </c:pt>
                      <c:pt idx="22">
                        <c:v>14.938249045297098</c:v>
                      </c:pt>
                      <c:pt idx="23">
                        <c:v>15.041918806713657</c:v>
                      </c:pt>
                      <c:pt idx="24">
                        <c:v>15.130102072544023</c:v>
                      </c:pt>
                      <c:pt idx="25">
                        <c:v>15.20506589506785</c:v>
                      </c:pt>
                      <c:pt idx="26">
                        <c:v>15.268758743690483</c:v>
                      </c:pt>
                      <c:pt idx="27">
                        <c:v>15.32285139839696</c:v>
                      </c:pt>
                      <c:pt idx="28">
                        <c:v>15.368773767846712</c:v>
                      </c:pt>
                      <c:pt idx="29">
                        <c:v>15.407747650745851</c:v>
                      </c:pt>
                      <c:pt idx="30">
                        <c:v>15.44081562318744</c:v>
                      </c:pt>
                      <c:pt idx="31">
                        <c:v>15.468866327933167</c:v>
                      </c:pt>
                      <c:pt idx="32">
                        <c:v>15.492656487285586</c:v>
                      </c:pt>
                      <c:pt idx="33">
                        <c:v>15.512829975622836</c:v>
                      </c:pt>
                      <c:pt idx="34">
                        <c:v>15.529934282260939</c:v>
                      </c:pt>
                      <c:pt idx="35">
                        <c:v>15.544434677953758</c:v>
                      </c:pt>
                      <c:pt idx="36">
                        <c:v>15.556726374393236</c:v>
                      </c:pt>
                      <c:pt idx="37">
                        <c:v>15.567144939103589</c:v>
                      </c:pt>
                      <c:pt idx="38">
                        <c:v>15.575975200451811</c:v>
                      </c:pt>
                      <c:pt idx="39">
                        <c:v>15.583458850574861</c:v>
                      </c:pt>
                      <c:pt idx="40">
                        <c:v>15.589800928708256</c:v>
                      </c:pt>
                    </c:numCache>
                  </c:numRef>
                </c:yVal>
                <c:smooth val="0"/>
                <c:extLst>
                  <c:ext xmlns:c16="http://schemas.microsoft.com/office/drawing/2014/chart" uri="{C3380CC4-5D6E-409C-BE32-E72D297353CC}">
                    <c16:uniqueId val="{00000004-A8D3-464A-9F43-7B85AA02CAFF}"/>
                  </c:ext>
                </c:extLst>
              </c15:ser>
            </c15:filteredScatterSeries>
            <c15:filteredScatterSeries>
              <c15:ser>
                <c:idx val="5"/>
                <c:order val="5"/>
                <c:tx>
                  <c:strRef>
                    <c:extLst>
                      <c:ext xmlns:c15="http://schemas.microsoft.com/office/drawing/2012/chart" uri="{02D57815-91ED-43cb-92C2-25804820EDAC}">
                        <c15:formulaRef>
                          <c15:sqref>PEZ!$I$14</c15:sqref>
                        </c15:formulaRef>
                      </c:ext>
                    </c:extLst>
                    <c:strCache>
                      <c:ptCount val="1"/>
                      <c:pt idx="0">
                        <c:v>Heun (k2)</c:v>
                      </c:pt>
                    </c:strCache>
                  </c:strRef>
                </c:tx>
                <c:spPr>
                  <a:ln w="9525" cap="rnd">
                    <a:solidFill>
                      <a:schemeClr val="accent6"/>
                    </a:solidFill>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c:spPr>
                </c:marker>
                <c:xVal>
                  <c:numRef>
                    <c:extLst>
                      <c:ext xmlns:c15="http://schemas.microsoft.com/office/drawing/2012/chart" uri="{02D57815-91ED-43cb-92C2-25804820EDAC}">
                        <c15:formulaRef>
                          <c15:sqref>PEZ!$C$15:$C$55</c15:sqref>
                        </c15:formulaRef>
                      </c:ext>
                    </c:extLst>
                    <c:numCache>
                      <c:formatCode>General</c:formatCode>
                      <c:ptCount val="41"/>
                      <c:pt idx="0">
                        <c:v>0.5</c:v>
                      </c:pt>
                      <c:pt idx="1">
                        <c:v>1.1764086917285848</c:v>
                      </c:pt>
                      <c:pt idx="2">
                        <c:v>2.0843152107295784</c:v>
                      </c:pt>
                      <c:pt idx="3">
                        <c:v>3.1447157790625315</c:v>
                      </c:pt>
                      <c:pt idx="4">
                        <c:v>4.2827555620548496</c:v>
                      </c:pt>
                      <c:pt idx="5">
                        <c:v>5.4373412925704194</c:v>
                      </c:pt>
                      <c:pt idx="6">
                        <c:v>6.5632298752638647</c:v>
                      </c:pt>
                      <c:pt idx="7">
                        <c:v>7.6296991764045687</c:v>
                      </c:pt>
                      <c:pt idx="8">
                        <c:v>8.6179536998015553</c:v>
                      </c:pt>
                      <c:pt idx="9">
                        <c:v>9.5183307602742016</c:v>
                      </c:pt>
                      <c:pt idx="10">
                        <c:v>10.327783161904074</c:v>
                      </c:pt>
                      <c:pt idx="11">
                        <c:v>11.04780649183674</c:v>
                      </c:pt>
                      <c:pt idx="12">
                        <c:v>11.682827794697335</c:v>
                      </c:pt>
                      <c:pt idx="13">
                        <c:v>12.239005777513249</c:v>
                      </c:pt>
                      <c:pt idx="14">
                        <c:v>12.72337017559216</c:v>
                      </c:pt>
                      <c:pt idx="15">
                        <c:v>13.143226932256256</c:v>
                      </c:pt>
                      <c:pt idx="16">
                        <c:v>13.505764225663038</c:v>
                      </c:pt>
                      <c:pt idx="17">
                        <c:v>13.817805792635944</c:v>
                      </c:pt>
                      <c:pt idx="18">
                        <c:v>14.085669381214011</c:v>
                      </c:pt>
                      <c:pt idx="19">
                        <c:v>14.315098192089671</c:v>
                      </c:pt>
                      <c:pt idx="20">
                        <c:v>14.511241432742152</c:v>
                      </c:pt>
                      <c:pt idx="21">
                        <c:v>14.678666633820793</c:v>
                      </c:pt>
                      <c:pt idx="22">
                        <c:v>14.821391378285281</c:v>
                      </c:pt>
                      <c:pt idx="23">
                        <c:v>14.942925839043054</c:v>
                      </c:pt>
                      <c:pt idx="24">
                        <c:v>15.046320272748767</c:v>
                      </c:pt>
                      <c:pt idx="25">
                        <c:v>15.134213605462453</c:v>
                      </c:pt>
                      <c:pt idx="26">
                        <c:v>15.208880658784741</c:v>
                      </c:pt>
                      <c:pt idx="27">
                        <c:v>15.272276552373153</c:v>
                      </c:pt>
                      <c:pt idx="28">
                        <c:v>15.326077495607297</c:v>
                      </c:pt>
                      <c:pt idx="29">
                        <c:v>15.371717634659502</c:v>
                      </c:pt>
                      <c:pt idx="30">
                        <c:v>15.410421916078052</c:v>
                      </c:pt>
                      <c:pt idx="31">
                        <c:v>15.443235111716254</c:v>
                      </c:pt>
                      <c:pt idx="32">
                        <c:v>15.471047256912549</c:v>
                      </c:pt>
                      <c:pt idx="33">
                        <c:v>15.49461580898342</c:v>
                      </c:pt>
                      <c:pt idx="34">
                        <c:v>15.514584853895897</c:v>
                      </c:pt>
                      <c:pt idx="35">
                        <c:v>15.53150168776993</c:v>
                      </c:pt>
                      <c:pt idx="36">
                        <c:v>15.545831085170796</c:v>
                      </c:pt>
                      <c:pt idx="37">
                        <c:v>15.557967543824773</c:v>
                      </c:pt>
                      <c:pt idx="38">
                        <c:v>15.568245769341994</c:v>
                      </c:pt>
                      <c:pt idx="39">
                        <c:v>15.576949636318643</c:v>
                      </c:pt>
                      <c:pt idx="40">
                        <c:v>15.584319835435055</c:v>
                      </c:pt>
                    </c:numCache>
                  </c:numRef>
                </c:xVal>
                <c:yVal>
                  <c:numRef>
                    <c:extLst>
                      <c:ext xmlns:c15="http://schemas.microsoft.com/office/drawing/2012/chart" uri="{02D57815-91ED-43cb-92C2-25804820EDAC}">
                        <c15:formulaRef>
                          <c15:sqref>PEZ!$I$15:$I$55</c15:sqref>
                        </c15:formulaRef>
                      </c:ext>
                    </c:extLst>
                    <c:numCache>
                      <c:formatCode>General</c:formatCode>
                      <c:ptCount val="41"/>
                      <c:pt idx="0">
                        <c:v>3.0491677059399884</c:v>
                      </c:pt>
                      <c:pt idx="1">
                        <c:v>3.9020911819757158</c:v>
                      </c:pt>
                      <c:pt idx="2">
                        <c:v>4.4084731971159341</c:v>
                      </c:pt>
                      <c:pt idx="3">
                        <c:v>4.6149902118568811</c:v>
                      </c:pt>
                      <c:pt idx="4">
                        <c:v>4.5930809738510199</c:v>
                      </c:pt>
                      <c:pt idx="5">
                        <c:v>4.4120243389262228</c:v>
                      </c:pt>
                      <c:pt idx="6">
                        <c:v>4.1296815239273741</c:v>
                      </c:pt>
                      <c:pt idx="7">
                        <c:v>3.7906708961546087</c:v>
                      </c:pt>
                      <c:pt idx="8">
                        <c:v>3.4275146188962715</c:v>
                      </c:pt>
                      <c:pt idx="9">
                        <c:v>3.0627648109070797</c:v>
                      </c:pt>
                      <c:pt idx="10">
                        <c:v>2.7112332632714349</c:v>
                      </c:pt>
                      <c:pt idx="11">
                        <c:v>2.3819712563508304</c:v>
                      </c:pt>
                      <c:pt idx="12">
                        <c:v>2.0798906905496715</c:v>
                      </c:pt>
                      <c:pt idx="13">
                        <c:v>1.8070276900933422</c:v>
                      </c:pt>
                      <c:pt idx="14">
                        <c:v>1.5634938773720997</c:v>
                      </c:pt>
                      <c:pt idx="15">
                        <c:v>1.3481729284464059</c:v>
                      </c:pt>
                      <c:pt idx="16">
                        <c:v>1.1592181128356103</c:v>
                      </c:pt>
                      <c:pt idx="17">
                        <c:v>0.99439896457346322</c:v>
                      </c:pt>
                      <c:pt idx="18">
                        <c:v>0.85133623895499966</c:v>
                      </c:pt>
                      <c:pt idx="19">
                        <c:v>0.72765578927685226</c:v>
                      </c:pt>
                      <c:pt idx="20">
                        <c:v>0.62108468901626068</c:v>
                      </c:pt>
                      <c:pt idx="21">
                        <c:v>0.52950699440849291</c:v>
                      </c:pt>
                      <c:pt idx="22">
                        <c:v>0.45099189896886571</c:v>
                      </c:pt>
                      <c:pt idx="23">
                        <c:v>0.38380348586321844</c:v>
                      </c:pt>
                      <c:pt idx="24">
                        <c:v>0.32639862746280812</c:v>
                      </c:pt>
                      <c:pt idx="25">
                        <c:v>0.27741762118226276</c:v>
                      </c:pt>
                      <c:pt idx="26">
                        <c:v>0.23567072315358928</c:v>
                      </c:pt>
                      <c:pt idx="27">
                        <c:v>0.20012271412012694</c:v>
                      </c:pt>
                      <c:pt idx="28">
                        <c:v>0.1698769015115893</c:v>
                      </c:pt>
                      <c:pt idx="29">
                        <c:v>0.14415944861583085</c:v>
                      </c:pt>
                      <c:pt idx="30">
                        <c:v>0.12230456630978281</c:v>
                      </c:pt>
                      <c:pt idx="31">
                        <c:v>0.10374086050838471</c:v>
                      </c:pt>
                      <c:pt idx="32">
                        <c:v>8.7978966643490253E-2</c:v>
                      </c:pt>
                      <c:pt idx="33">
                        <c:v>7.4600497275991273E-2</c:v>
                      </c:pt>
                      <c:pt idx="34">
                        <c:v>6.324826315434251E-2</c:v>
                      </c:pt>
                      <c:pt idx="35">
                        <c:v>5.3617689321587392E-2</c:v>
                      </c:pt>
                      <c:pt idx="36">
                        <c:v>4.5449327459223809E-2</c:v>
                      </c:pt>
                      <c:pt idx="37">
                        <c:v>3.8522357349982883E-2</c:v>
                      </c:pt>
                      <c:pt idx="38">
                        <c:v>3.2648969815596729E-2</c:v>
                      </c:pt>
                      <c:pt idx="39">
                        <c:v>2.7669527750617817E-2</c:v>
                      </c:pt>
                      <c:pt idx="40">
                        <c:v>2.3448408889805705E-2</c:v>
                      </c:pt>
                    </c:numCache>
                  </c:numRef>
                </c:yVal>
                <c:smooth val="0"/>
                <c:extLst>
                  <c:ext xmlns:c16="http://schemas.microsoft.com/office/drawing/2014/chart" uri="{C3380CC4-5D6E-409C-BE32-E72D297353CC}">
                    <c16:uniqueId val="{00000005-A8D3-464A-9F43-7B85AA02CAFF}"/>
                  </c:ext>
                </c:extLst>
              </c15:ser>
            </c15:filteredScatterSeries>
          </c:ext>
        </c:extLst>
      </c:scatterChart>
      <c:valAx>
        <c:axId val="39644046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396442863"/>
        <c:crosses val="autoZero"/>
        <c:crossBetween val="midCat"/>
      </c:valAx>
      <c:valAx>
        <c:axId val="3964428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3964404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285893</xdr:colOff>
      <xdr:row>1</xdr:row>
      <xdr:rowOff>0</xdr:rowOff>
    </xdr:from>
    <xdr:to>
      <xdr:col>15</xdr:col>
      <xdr:colOff>56438</xdr:colOff>
      <xdr:row>11</xdr:row>
      <xdr:rowOff>57509</xdr:rowOff>
    </xdr:to>
    <xdr:pic>
      <xdr:nvPicPr>
        <xdr:cNvPr id="2" name="Imagen 1">
          <a:extLst>
            <a:ext uri="{FF2B5EF4-FFF2-40B4-BE49-F238E27FC236}">
              <a16:creationId xmlns:a16="http://schemas.microsoft.com/office/drawing/2014/main" id="{B59C7C7F-30AB-4C7E-813B-35DAB750FB8B}"/>
            </a:ext>
          </a:extLst>
        </xdr:cNvPr>
        <xdr:cNvPicPr>
          <a:picLocks noChangeAspect="1"/>
        </xdr:cNvPicPr>
      </xdr:nvPicPr>
      <xdr:blipFill>
        <a:blip xmlns:r="http://schemas.openxmlformats.org/officeDocument/2006/relationships" r:embed="rId1"/>
        <a:stretch>
          <a:fillRect/>
        </a:stretch>
      </xdr:blipFill>
      <xdr:spPr>
        <a:xfrm>
          <a:off x="5030421" y="186906"/>
          <a:ext cx="6887338" cy="1955320"/>
        </a:xfrm>
        <a:prstGeom prst="rect">
          <a:avLst/>
        </a:prstGeom>
      </xdr:spPr>
    </xdr:pic>
    <xdr:clientData/>
  </xdr:twoCellAnchor>
  <xdr:twoCellAnchor editAs="oneCell">
    <xdr:from>
      <xdr:col>11</xdr:col>
      <xdr:colOff>189781</xdr:colOff>
      <xdr:row>11</xdr:row>
      <xdr:rowOff>62003</xdr:rowOff>
    </xdr:from>
    <xdr:to>
      <xdr:col>14</xdr:col>
      <xdr:colOff>304800</xdr:colOff>
      <xdr:row>14</xdr:row>
      <xdr:rowOff>4647</xdr:rowOff>
    </xdr:to>
    <xdr:pic>
      <xdr:nvPicPr>
        <xdr:cNvPr id="3" name="Imagen 2">
          <a:extLst>
            <a:ext uri="{FF2B5EF4-FFF2-40B4-BE49-F238E27FC236}">
              <a16:creationId xmlns:a16="http://schemas.microsoft.com/office/drawing/2014/main" id="{1B03A28D-97B3-82E9-B39A-548FA89E7DB8}"/>
            </a:ext>
          </a:extLst>
        </xdr:cNvPr>
        <xdr:cNvPicPr>
          <a:picLocks noChangeAspect="1"/>
        </xdr:cNvPicPr>
      </xdr:nvPicPr>
      <xdr:blipFill>
        <a:blip xmlns:r="http://schemas.openxmlformats.org/officeDocument/2006/relationships" r:embed="rId2"/>
        <a:stretch>
          <a:fillRect/>
        </a:stretch>
      </xdr:blipFill>
      <xdr:spPr>
        <a:xfrm>
          <a:off x="8886106" y="2081303"/>
          <a:ext cx="2486744" cy="561769"/>
        </a:xfrm>
        <a:prstGeom prst="rect">
          <a:avLst/>
        </a:prstGeom>
      </xdr:spPr>
    </xdr:pic>
    <xdr:clientData/>
  </xdr:twoCellAnchor>
  <xdr:twoCellAnchor editAs="oneCell">
    <xdr:from>
      <xdr:col>3</xdr:col>
      <xdr:colOff>244417</xdr:colOff>
      <xdr:row>7</xdr:row>
      <xdr:rowOff>57511</xdr:rowOff>
    </xdr:from>
    <xdr:to>
      <xdr:col>5</xdr:col>
      <xdr:colOff>521461</xdr:colOff>
      <xdr:row>12</xdr:row>
      <xdr:rowOff>57509</xdr:rowOff>
    </xdr:to>
    <xdr:pic>
      <xdr:nvPicPr>
        <xdr:cNvPr id="4" name="Imagen 3">
          <a:extLst>
            <a:ext uri="{FF2B5EF4-FFF2-40B4-BE49-F238E27FC236}">
              <a16:creationId xmlns:a16="http://schemas.microsoft.com/office/drawing/2014/main" id="{95645C35-2C18-AD36-479D-37F0A41559E5}"/>
            </a:ext>
          </a:extLst>
        </xdr:cNvPr>
        <xdr:cNvPicPr>
          <a:picLocks noChangeAspect="1"/>
        </xdr:cNvPicPr>
      </xdr:nvPicPr>
      <xdr:blipFill>
        <a:blip xmlns:r="http://schemas.openxmlformats.org/officeDocument/2006/relationships" r:embed="rId3"/>
        <a:stretch>
          <a:fillRect/>
        </a:stretch>
      </xdr:blipFill>
      <xdr:spPr>
        <a:xfrm>
          <a:off x="2616681" y="1394605"/>
          <a:ext cx="1858554" cy="934527"/>
        </a:xfrm>
        <a:prstGeom prst="rect">
          <a:avLst/>
        </a:prstGeom>
      </xdr:spPr>
    </xdr:pic>
    <xdr:clientData/>
  </xdr:twoCellAnchor>
  <xdr:twoCellAnchor>
    <xdr:from>
      <xdr:col>10</xdr:col>
      <xdr:colOff>434788</xdr:colOff>
      <xdr:row>15</xdr:row>
      <xdr:rowOff>125507</xdr:rowOff>
    </xdr:from>
    <xdr:to>
      <xdr:col>16</xdr:col>
      <xdr:colOff>273423</xdr:colOff>
      <xdr:row>31</xdr:row>
      <xdr:rowOff>1</xdr:rowOff>
    </xdr:to>
    <xdr:graphicFrame macro="">
      <xdr:nvGraphicFramePr>
        <xdr:cNvPr id="6" name="Gráfico 5">
          <a:extLst>
            <a:ext uri="{FF2B5EF4-FFF2-40B4-BE49-F238E27FC236}">
              <a16:creationId xmlns:a16="http://schemas.microsoft.com/office/drawing/2014/main" id="{EE1EC247-EF4B-3004-AF44-A96624DC9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290452</xdr:colOff>
      <xdr:row>0</xdr:row>
      <xdr:rowOff>135945</xdr:rowOff>
    </xdr:from>
    <xdr:to>
      <xdr:col>11</xdr:col>
      <xdr:colOff>189474</xdr:colOff>
      <xdr:row>10</xdr:row>
      <xdr:rowOff>8194</xdr:rowOff>
    </xdr:to>
    <xdr:pic>
      <xdr:nvPicPr>
        <xdr:cNvPr id="2" name="Imagen 1">
          <a:extLst>
            <a:ext uri="{FF2B5EF4-FFF2-40B4-BE49-F238E27FC236}">
              <a16:creationId xmlns:a16="http://schemas.microsoft.com/office/drawing/2014/main" id="{9F619F7D-A868-1E6B-F0E5-3018F22D6D92}"/>
            </a:ext>
          </a:extLst>
        </xdr:cNvPr>
        <xdr:cNvPicPr>
          <a:picLocks noChangeAspect="1"/>
        </xdr:cNvPicPr>
      </xdr:nvPicPr>
      <xdr:blipFill>
        <a:blip xmlns:r="http://schemas.openxmlformats.org/officeDocument/2006/relationships" r:embed="rId1"/>
        <a:stretch>
          <a:fillRect/>
        </a:stretch>
      </xdr:blipFill>
      <xdr:spPr>
        <a:xfrm>
          <a:off x="2674775" y="135945"/>
          <a:ext cx="6257215" cy="1683023"/>
        </a:xfrm>
        <a:prstGeom prst="rect">
          <a:avLst/>
        </a:prstGeom>
      </xdr:spPr>
    </xdr:pic>
    <xdr:clientData/>
  </xdr:twoCellAnchor>
  <xdr:twoCellAnchor>
    <xdr:from>
      <xdr:col>11</xdr:col>
      <xdr:colOff>295465</xdr:colOff>
      <xdr:row>6</xdr:row>
      <xdr:rowOff>144798</xdr:rowOff>
    </xdr:from>
    <xdr:to>
      <xdr:col>17</xdr:col>
      <xdr:colOff>523257</xdr:colOff>
      <xdr:row>23</xdr:row>
      <xdr:rowOff>105146</xdr:rowOff>
    </xdr:to>
    <xdr:graphicFrame macro="">
      <xdr:nvGraphicFramePr>
        <xdr:cNvPr id="4" name="Gráfico 3">
          <a:extLst>
            <a:ext uri="{FF2B5EF4-FFF2-40B4-BE49-F238E27FC236}">
              <a16:creationId xmlns:a16="http://schemas.microsoft.com/office/drawing/2014/main" id="{98DA0982-D56B-C44E-70B8-52BD06B31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787977</xdr:colOff>
      <xdr:row>9</xdr:row>
      <xdr:rowOff>57887</xdr:rowOff>
    </xdr:from>
    <xdr:to>
      <xdr:col>9</xdr:col>
      <xdr:colOff>51955</xdr:colOff>
      <xdr:row>12</xdr:row>
      <xdr:rowOff>112714</xdr:rowOff>
    </xdr:to>
    <xdr:pic>
      <xdr:nvPicPr>
        <xdr:cNvPr id="5" name="Imagen 4">
          <a:extLst>
            <a:ext uri="{FF2B5EF4-FFF2-40B4-BE49-F238E27FC236}">
              <a16:creationId xmlns:a16="http://schemas.microsoft.com/office/drawing/2014/main" id="{81A58660-F835-1BFB-DFC5-35DAE4A0805F}"/>
            </a:ext>
          </a:extLst>
        </xdr:cNvPr>
        <xdr:cNvPicPr>
          <a:picLocks noChangeAspect="1"/>
        </xdr:cNvPicPr>
      </xdr:nvPicPr>
      <xdr:blipFill>
        <a:blip xmlns:r="http://schemas.openxmlformats.org/officeDocument/2006/relationships" r:embed="rId3"/>
        <a:stretch>
          <a:fillRect/>
        </a:stretch>
      </xdr:blipFill>
      <xdr:spPr>
        <a:xfrm>
          <a:off x="4771159" y="1703114"/>
          <a:ext cx="2450523" cy="600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144780</xdr:colOff>
      <xdr:row>2</xdr:row>
      <xdr:rowOff>38100</xdr:rowOff>
    </xdr:from>
    <xdr:to>
      <xdr:col>7</xdr:col>
      <xdr:colOff>731520</xdr:colOff>
      <xdr:row>18</xdr:row>
      <xdr:rowOff>22860</xdr:rowOff>
    </xdr:to>
    <xdr:sp macro="" textlink="">
      <xdr:nvSpPr>
        <xdr:cNvPr id="2" name="CuadroTexto 1">
          <a:extLst>
            <a:ext uri="{FF2B5EF4-FFF2-40B4-BE49-F238E27FC236}">
              <a16:creationId xmlns:a16="http://schemas.microsoft.com/office/drawing/2014/main" id="{0885FED9-45BE-DB59-E59B-55C165829001}"/>
            </a:ext>
          </a:extLst>
        </xdr:cNvPr>
        <xdr:cNvSpPr txBox="1"/>
      </xdr:nvSpPr>
      <xdr:spPr>
        <a:xfrm>
          <a:off x="937260" y="403860"/>
          <a:ext cx="5341620" cy="2910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ES" sz="1200" b="1" i="0">
              <a:solidFill>
                <a:schemeClr val="dk1"/>
              </a:solidFill>
              <a:effectLst/>
              <a:latin typeface="+mn-lt"/>
              <a:ea typeface="+mn-ea"/>
              <a:cs typeface="+mn-cs"/>
            </a:rPr>
            <a:t>DESAFIO DEL PEZ Y CRECIMIENTO DE UN ORGANISMO</a:t>
          </a:r>
        </a:p>
        <a:p>
          <a:r>
            <a:rPr lang="es-ES" sz="1200" b="1"/>
            <a:t>Conclusión:</a:t>
          </a:r>
        </a:p>
        <a:p>
          <a:r>
            <a:rPr lang="es-ES" sz="1100">
              <a:solidFill>
                <a:schemeClr val="dk1"/>
              </a:solidFill>
              <a:effectLst/>
              <a:latin typeface="+mn-lt"/>
              <a:ea typeface="+mn-ea"/>
              <a:cs typeface="+mn-cs"/>
            </a:rPr>
            <a:t>Al comparar las tres metodologías empleadas en ambos ejercicios, se concluye que:</a:t>
          </a:r>
        </a:p>
        <a:p>
          <a:r>
            <a:rPr lang="es-ES" sz="1100" b="1">
              <a:solidFill>
                <a:schemeClr val="dk1"/>
              </a:solidFill>
              <a:effectLst/>
              <a:latin typeface="+mn-lt"/>
              <a:ea typeface="+mn-ea"/>
              <a:cs typeface="+mn-cs"/>
            </a:rPr>
            <a:t>Precisión del Método de Heun:</a:t>
          </a:r>
          <a:r>
            <a:rPr lang="es-ES" sz="1100">
              <a:solidFill>
                <a:schemeClr val="dk1"/>
              </a:solidFill>
              <a:effectLst/>
              <a:latin typeface="+mn-lt"/>
              <a:ea typeface="+mn-ea"/>
              <a:cs typeface="+mn-cs"/>
            </a:rPr>
            <a:t> El método de Heun (o Euler Mejorado) demostró ser significativamente más preciso que el método de Euler simple. Al utilizar un paso "predictor" y uno "corrector", Heun promedia las pendientes al inicio y al final del intervalo, logrando una curva casi idéntica a la solución exacta.</a:t>
          </a:r>
        </a:p>
        <a:p>
          <a:r>
            <a:rPr lang="es-ES" sz="1100" b="1">
              <a:solidFill>
                <a:schemeClr val="dk1"/>
              </a:solidFill>
              <a:effectLst/>
              <a:latin typeface="+mn-lt"/>
              <a:ea typeface="+mn-ea"/>
              <a:cs typeface="+mn-cs"/>
            </a:rPr>
            <a:t>Limitaciones de Euler:</a:t>
          </a:r>
          <a:r>
            <a:rPr lang="es-ES" sz="1100">
              <a:solidFill>
                <a:schemeClr val="dk1"/>
              </a:solidFill>
              <a:effectLst/>
              <a:latin typeface="+mn-lt"/>
              <a:ea typeface="+mn-ea"/>
              <a:cs typeface="+mn-cs"/>
            </a:rPr>
            <a:t> El método de Euler, aunque más fácil de implementar, tiende a acumular </a:t>
          </a:r>
          <a:r>
            <a:rPr lang="es-ES" sz="1100" b="1">
              <a:solidFill>
                <a:schemeClr val="dk1"/>
              </a:solidFill>
              <a:effectLst/>
              <a:latin typeface="+mn-lt"/>
              <a:ea typeface="+mn-ea"/>
              <a:cs typeface="+mn-cs"/>
            </a:rPr>
            <a:t>error de truncamiento</a:t>
          </a:r>
          <a:r>
            <a:rPr lang="es-ES" sz="1100">
              <a:solidFill>
                <a:schemeClr val="dk1"/>
              </a:solidFill>
              <a:effectLst/>
              <a:latin typeface="+mn-lt"/>
              <a:ea typeface="+mn-ea"/>
              <a:cs typeface="+mn-cs"/>
            </a:rPr>
            <a:t> más rápido. En el Ejercicio 1 (con paso h=20), se notó una mayor discrepancia frente a la solución exacta. Euler siempre "llega tarde" a los cambios de curvatura de la función.</a:t>
          </a:r>
        </a:p>
        <a:p>
          <a:r>
            <a:rPr lang="es-ES" sz="1100" b="1">
              <a:solidFill>
                <a:schemeClr val="dk1"/>
              </a:solidFill>
              <a:effectLst/>
              <a:latin typeface="+mn-lt"/>
              <a:ea typeface="+mn-ea"/>
              <a:cs typeface="+mn-cs"/>
            </a:rPr>
            <a:t>Importancia del Paso ($h$):</a:t>
          </a:r>
          <a:r>
            <a:rPr lang="es-ES" sz="1100">
              <a:solidFill>
                <a:schemeClr val="dk1"/>
              </a:solidFill>
              <a:effectLst/>
              <a:latin typeface="+mn-lt"/>
              <a:ea typeface="+mn-ea"/>
              <a:cs typeface="+mn-cs"/>
            </a:rPr>
            <a:t> Se demostró que la elección del paso h es crítica. En el segundo ejercicio, un paso grande habría perdido la curva de crecimiento rápido inicial. Los métodos numéricos son herramientas poderosas para resolver ecuaciones diferenciales no lineales donde encontrar una solución exacta analítica podría ser muy difícil o imposible.</a:t>
          </a:r>
        </a:p>
        <a:p>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02111-8B7B-45B3-8561-1FAEE9E683C4}">
  <dimension ref="B7:J35"/>
  <sheetViews>
    <sheetView topLeftCell="A5" zoomScale="85" zoomScaleNormal="85" workbookViewId="0">
      <selection activeCell="Q14" sqref="Q14"/>
    </sheetView>
  </sheetViews>
  <sheetFormatPr baseColWidth="10" defaultRowHeight="14.4"/>
  <sheetData>
    <row r="7" spans="2:10" ht="16.8" customHeight="1"/>
    <row r="8" spans="2:10">
      <c r="B8" t="s">
        <v>4</v>
      </c>
      <c r="C8">
        <v>300</v>
      </c>
    </row>
    <row r="9" spans="2:10">
      <c r="B9" t="s">
        <v>0</v>
      </c>
      <c r="C9">
        <v>0.3</v>
      </c>
    </row>
    <row r="10" spans="2:10">
      <c r="B10" t="s">
        <v>1</v>
      </c>
      <c r="C10">
        <v>20</v>
      </c>
    </row>
    <row r="11" spans="2:10">
      <c r="B11" t="s">
        <v>2</v>
      </c>
      <c r="C11">
        <v>0</v>
      </c>
    </row>
    <row r="12" spans="2:10">
      <c r="B12" t="s">
        <v>3</v>
      </c>
      <c r="C12">
        <v>1</v>
      </c>
    </row>
    <row r="13" spans="2:10" ht="15" thickBot="1"/>
    <row r="14" spans="2:10" ht="19.8" thickBot="1">
      <c r="B14" s="1" t="s">
        <v>5</v>
      </c>
      <c r="C14" s="1" t="s">
        <v>6</v>
      </c>
      <c r="D14" s="1" t="s">
        <v>7</v>
      </c>
      <c r="E14" s="1" t="s">
        <v>8</v>
      </c>
      <c r="F14" s="1" t="s">
        <v>9</v>
      </c>
      <c r="G14" s="1" t="s">
        <v>10</v>
      </c>
      <c r="H14" s="1" t="s">
        <v>11</v>
      </c>
      <c r="I14" s="1" t="s">
        <v>12</v>
      </c>
      <c r="J14" s="1" t="s">
        <v>13</v>
      </c>
    </row>
    <row r="15" spans="2:10">
      <c r="B15">
        <f>$C$11</f>
        <v>0</v>
      </c>
      <c r="C15">
        <f>$C$12</f>
        <v>1</v>
      </c>
      <c r="D15">
        <f>$C$12</f>
        <v>1</v>
      </c>
      <c r="E15">
        <f>$C$9*POWER(D15,0.75)*(1-POWER(D15/$C$8,0.25))</f>
        <v>0.22791565757595736</v>
      </c>
      <c r="F15">
        <f>$C$12</f>
        <v>1</v>
      </c>
      <c r="G15">
        <f>$C$9*POWER(F15,0.75)*(1-POWER(F15/$C$8,0.25))</f>
        <v>0.22791565757595736</v>
      </c>
      <c r="H15">
        <f>F15 + $C$10 * G15</f>
        <v>5.5583131515191475</v>
      </c>
      <c r="I15">
        <f>$C$9*POWER(H15,0.75)*(1-POWER(H15/$C$8,0.25))</f>
        <v>0.68532936995091265</v>
      </c>
      <c r="J15">
        <f>F15 + ($C$10/2) * (G15 + I15)</f>
        <v>10.132450275268699</v>
      </c>
    </row>
    <row r="16" spans="2:10">
      <c r="B16">
        <f>B15+$C$10</f>
        <v>20</v>
      </c>
      <c r="C16">
        <f>POWER(POWER($C$8,0.25) - (POWER($C$8,0.25)-1)*EXP(-$C$9*B16/(4*POWER($C$8,0.25))), 4)</f>
        <v>14.66218192543435</v>
      </c>
      <c r="D16">
        <f>D15 + $C$10 * E15</f>
        <v>5.5583131515191475</v>
      </c>
      <c r="E16">
        <f>$C$9 * POWER(D16, 0.75) * (1 - POWER(D16/$C$8, 0.25))</f>
        <v>0.68532936995091265</v>
      </c>
      <c r="F16">
        <f>J15</f>
        <v>10.132450275268699</v>
      </c>
      <c r="G16">
        <f>$C$9 * POWER(F16, 0.75) * (1 - POWER(F16/$C$8, 0.25))</f>
        <v>0.97336387570737837</v>
      </c>
      <c r="H16">
        <f>F16 + $C$10 * G16</f>
        <v>29.599727789416267</v>
      </c>
      <c r="I16">
        <f>$C$9 * POWER(H16, 0.75) * (1 - POWER(H16/$C$8, 0.25))</f>
        <v>1.673359603333598</v>
      </c>
      <c r="J16">
        <f>F16 + ($C$10 / 2) * (G16 + I16)</f>
        <v>36.599685065678457</v>
      </c>
    </row>
    <row r="17" spans="2:10">
      <c r="B17">
        <f>B16+$C$10</f>
        <v>40</v>
      </c>
      <c r="C17">
        <f>POWER(POWER($C$8,0.25) - (POWER($C$8,0.25)-1)*EXP(-$C$9*B17/(4*POWER($C$8,0.25))), 4)</f>
        <v>47.414171381012579</v>
      </c>
      <c r="D17">
        <f>D16 + $C$10 * E16</f>
        <v>19.264900550537401</v>
      </c>
      <c r="E17">
        <f>$C$9 * POWER(D17, 0.75) * (1 - POWER(D17/$C$8, 0.25))</f>
        <v>1.3699505959437464</v>
      </c>
      <c r="F17">
        <f t="shared" ref="F17:F28" si="0">J16</f>
        <v>36.599685065678457</v>
      </c>
      <c r="G17">
        <f>$C$9 * POWER(F17, 0.75) * (1 - POWER(F17/$C$8, 0.25))</f>
        <v>1.8257879861688631</v>
      </c>
      <c r="H17">
        <f>F17 + $C$10 * G17</f>
        <v>73.115444789055715</v>
      </c>
      <c r="I17">
        <f>$C$9 * POWER(H17, 0.75) * (1 - POWER(H17/$C$8, 0.25))</f>
        <v>2.2306755481245117</v>
      </c>
      <c r="J17">
        <f>F17 + ($C$10 / 2) * (G17 + I17)</f>
        <v>77.164320408612213</v>
      </c>
    </row>
    <row r="18" spans="2:10">
      <c r="B18">
        <f>B17+$C$10</f>
        <v>60</v>
      </c>
      <c r="C18">
        <f>POWER(POWER($C$8,0.25) - (POWER($C$8,0.25)-1)*EXP(-$C$9*B18/(4*POWER($C$8,0.25))), 4)</f>
        <v>91.097640206791141</v>
      </c>
      <c r="D18">
        <f>D17 + $C$10 * E17</f>
        <v>46.663912469412324</v>
      </c>
      <c r="E18">
        <f>$C$9 * POWER(D18, 0.75) * (1 - POWER(D18/$C$8, 0.25))</f>
        <v>1.9924666388564238</v>
      </c>
      <c r="F18">
        <f t="shared" si="0"/>
        <v>77.164320408612213</v>
      </c>
      <c r="G18">
        <f>$C$9 * POWER(F18, 0.75) * (1 - POWER(F18/$C$8, 0.25))</f>
        <v>2.2482473852049734</v>
      </c>
      <c r="H18">
        <f>F18 + $C$10 * G18</f>
        <v>122.12926811271169</v>
      </c>
      <c r="I18">
        <f>$C$9 * POWER(H18, 0.75) * (1 - POWER(H18/$C$8, 0.25))</f>
        <v>2.2177744066378069</v>
      </c>
      <c r="J18">
        <f>F18 + ($C$10 / 2) * (G18 + I18)</f>
        <v>121.82453832704002</v>
      </c>
    </row>
    <row r="19" spans="2:10">
      <c r="B19">
        <f>B18+$C$10</f>
        <v>80</v>
      </c>
      <c r="C19">
        <f>POWER(POWER($C$8,0.25) - (POWER($C$8,0.25)-1)*EXP(-$C$9*B19/(4*POWER($C$8,0.25))), 4)</f>
        <v>135.83836700992967</v>
      </c>
      <c r="D19">
        <f>D18 + $C$10 * E18</f>
        <v>86.513245246540805</v>
      </c>
      <c r="E19">
        <f>$C$9 * POWER(D19, 0.75) * (1 - POWER(D19/$C$8, 0.25))</f>
        <v>2.2738210721049352</v>
      </c>
      <c r="F19">
        <f t="shared" si="0"/>
        <v>121.82453832704002</v>
      </c>
      <c r="G19">
        <f>$C$9 * POWER(F19, 0.75) * (1 - POWER(F19/$C$8, 0.25))</f>
        <v>2.2191092832771306</v>
      </c>
      <c r="H19">
        <f>F19 + $C$10 * G19</f>
        <v>166.20672399258262</v>
      </c>
      <c r="I19">
        <f>$C$9 * POWER(H19, 0.75) * (1 - POWER(H19/$C$8, 0.25))</f>
        <v>1.9060739739658941</v>
      </c>
      <c r="J19">
        <f>F19 + ($C$10 / 2) * (G19 + I19)</f>
        <v>163.07637089947025</v>
      </c>
    </row>
    <row r="20" spans="2:10">
      <c r="B20">
        <f>B19+$C$10</f>
        <v>100</v>
      </c>
      <c r="C20">
        <f>POWER(POWER($C$8,0.25) - (POWER($C$8,0.25)-1)*EXP(-$C$9*B20/(4*POWER($C$8,0.25))), 4)</f>
        <v>175.60046114433572</v>
      </c>
      <c r="D20">
        <f>D19 + $C$10 * E19</f>
        <v>131.98966668863952</v>
      </c>
      <c r="E20">
        <f>$C$9 * POWER(D20, 0.75) * (1 - POWER(D20/$C$8, 0.25))</f>
        <v>2.1678538134954848</v>
      </c>
      <c r="F20">
        <f t="shared" si="0"/>
        <v>163.07637089947025</v>
      </c>
      <c r="G20">
        <f>$C$9 * POWER(F20, 0.75) * (1 - POWER(F20/$C$8, 0.25))</f>
        <v>1.9350964740525884</v>
      </c>
      <c r="H20">
        <f>F20 + $C$10 * G20</f>
        <v>201.77830038052201</v>
      </c>
      <c r="I20">
        <f>$C$9 * POWER(H20, 0.75) * (1 - POWER(H20/$C$8, 0.25))</f>
        <v>1.5161109602383223</v>
      </c>
      <c r="J20">
        <f>F20 + ($C$10 / 2) * (G20 + I20)</f>
        <v>197.58844524237935</v>
      </c>
    </row>
    <row r="21" spans="2:10">
      <c r="B21">
        <f>B20+$C$10</f>
        <v>120</v>
      </c>
      <c r="C21">
        <f>POWER(POWER($C$8,0.25) - (POWER($C$8,0.25)-1)*EXP(-$C$9*B21/(4*POWER($C$8,0.25))), 4)</f>
        <v>208.09226689289264</v>
      </c>
      <c r="D21">
        <f>D20 + $C$10 * E20</f>
        <v>175.34674295854921</v>
      </c>
      <c r="E21">
        <f>$C$9 * POWER(D21, 0.75) * (1 - POWER(D21/$C$8, 0.25))</f>
        <v>1.8161252638094023</v>
      </c>
      <c r="F21">
        <f t="shared" si="0"/>
        <v>197.58844524237935</v>
      </c>
      <c r="G21">
        <f>$C$9 * POWER(F21, 0.75) * (1 - POWER(F21/$C$8, 0.25))</f>
        <v>1.5673506549835794</v>
      </c>
      <c r="H21">
        <f>F21 + $C$10 * G21</f>
        <v>228.93545834205094</v>
      </c>
      <c r="I21">
        <f>$C$9 * POWER(H21, 0.75) * (1 - POWER(H21/$C$8, 0.25))</f>
        <v>1.1538962949754361</v>
      </c>
      <c r="J21">
        <f>F21 + ($C$10 / 2) * (G21 + I21)</f>
        <v>224.80091474196951</v>
      </c>
    </row>
    <row r="22" spans="2:10">
      <c r="B22">
        <f>B21+$C$10</f>
        <v>140</v>
      </c>
      <c r="C22">
        <f>POWER(POWER($C$8,0.25) - (POWER($C$8,0.25)-1)*EXP(-$C$9*B22/(4*POWER($C$8,0.25))), 4)</f>
        <v>233.2827329567624</v>
      </c>
      <c r="D22">
        <f>D21 + $C$10 * E21</f>
        <v>211.66924823473727</v>
      </c>
      <c r="E22">
        <f>$C$9 * POWER(D22, 0.75) * (1 - POWER(D22/$C$8, 0.25))</f>
        <v>1.3900577632689497</v>
      </c>
      <c r="F22">
        <f t="shared" si="0"/>
        <v>224.80091474196951</v>
      </c>
      <c r="G22">
        <f>$C$9 * POWER(F22, 0.75) * (1 - POWER(F22/$C$8, 0.25))</f>
        <v>1.2122318544187856</v>
      </c>
      <c r="H22">
        <f>F22 + $C$10 * G22</f>
        <v>249.04555183034523</v>
      </c>
      <c r="I22">
        <f>$C$9 * POWER(H22, 0.75) * (1 - POWER(H22/$C$8, 0.25))</f>
        <v>0.85518381680945721</v>
      </c>
      <c r="J22">
        <f>F22 + ($C$10 / 2) * (G22 + I22)</f>
        <v>245.47507145425195</v>
      </c>
    </row>
    <row r="23" spans="2:10">
      <c r="B23">
        <f>B22+$C$10</f>
        <v>160</v>
      </c>
      <c r="C23">
        <f>POWER(POWER($C$8,0.25) - (POWER($C$8,0.25)-1)*EXP(-$C$9*B23/(4*POWER($C$8,0.25))), 4)</f>
        <v>252.15694606615767</v>
      </c>
      <c r="D23">
        <f>D22 + $C$10 * E22</f>
        <v>239.47040350011628</v>
      </c>
      <c r="E23">
        <f>$C$9 * POWER(D23, 0.75) * (1 - POWER(D23/$C$8, 0.25))</f>
        <v>1.0004296598821079</v>
      </c>
      <c r="F23">
        <f t="shared" si="0"/>
        <v>245.47507145425195</v>
      </c>
      <c r="G23">
        <f>$C$9 * POWER(F23, 0.75) * (1 - POWER(F23/$C$8, 0.25))</f>
        <v>0.90996780210288386</v>
      </c>
      <c r="H23">
        <f>F23 + $C$10 * G23</f>
        <v>263.67442749630965</v>
      </c>
      <c r="I23">
        <f>$C$9 * POWER(H23, 0.75) * (1 - POWER(H23/$C$8, 0.25))</f>
        <v>0.62329104833318216</v>
      </c>
      <c r="J23">
        <f>F23 + ($C$10 / 2) * (G23 + I23)</f>
        <v>260.80765995861259</v>
      </c>
    </row>
    <row r="24" spans="2:10">
      <c r="B24">
        <f>B23+$C$10</f>
        <v>180</v>
      </c>
      <c r="C24">
        <f>POWER(POWER($C$8,0.25) - (POWER($C$8,0.25)-1)*EXP(-$C$9*B24/(4*POWER($C$8,0.25))), 4)</f>
        <v>265.98141977142052</v>
      </c>
      <c r="D24">
        <f>D23 + $C$10 * E23</f>
        <v>259.47899669775842</v>
      </c>
      <c r="E24">
        <f>$C$9 * POWER(D24, 0.75) * (1 - POWER(D24/$C$8, 0.25))</f>
        <v>0.69099015223583515</v>
      </c>
      <c r="F24">
        <f t="shared" si="0"/>
        <v>260.80765995861259</v>
      </c>
      <c r="G24">
        <f>$C$9 * POWER(F24, 0.75) * (1 - POWER(F24/$C$8, 0.25))</f>
        <v>0.66965228728522619</v>
      </c>
      <c r="H24">
        <f>F24 + $C$10 * G24</f>
        <v>274.2007057043171</v>
      </c>
      <c r="I24">
        <f>$C$9 * POWER(H24, 0.75) * (1 - POWER(H24/$C$8, 0.25))</f>
        <v>0.4493728737862614</v>
      </c>
      <c r="J24">
        <f>F24 + ($C$10 / 2) * (G24 + I24)</f>
        <v>271.99791156932747</v>
      </c>
    </row>
    <row r="25" spans="2:10">
      <c r="B25">
        <f>B24+$C$10</f>
        <v>200</v>
      </c>
      <c r="C25">
        <f>POWER(POWER($C$8,0.25) - (POWER($C$8,0.25)-1)*EXP(-$C$9*B25/(4*POWER($C$8,0.25))), 4)</f>
        <v>275.953388230754</v>
      </c>
      <c r="D25">
        <f>D24 + $C$10 * E24</f>
        <v>273.29879974247513</v>
      </c>
      <c r="E25">
        <f>$C$9 * POWER(D25, 0.75) * (1 - POWER(D25/$C$8, 0.25))</f>
        <v>0.4644971025290211</v>
      </c>
      <c r="F25">
        <f t="shared" si="0"/>
        <v>271.99791156932747</v>
      </c>
      <c r="G25">
        <f>$C$9 * POWER(F25, 0.75) * (1 - POWER(F25/$C$8, 0.25))</f>
        <v>0.48623936513128874</v>
      </c>
      <c r="H25">
        <f>F25 + $C$10 * G25</f>
        <v>281.72269887195324</v>
      </c>
      <c r="I25">
        <f>$C$9 * POWER(H25, 0.75) * (1 - POWER(H25/$C$8, 0.25))</f>
        <v>0.32165381497413315</v>
      </c>
      <c r="J25">
        <f>F25 + ($C$10 / 2) * (G25 + I25)</f>
        <v>280.07684337038171</v>
      </c>
    </row>
    <row r="26" spans="2:10">
      <c r="B26">
        <f>B25+$C$10</f>
        <v>220</v>
      </c>
      <c r="C26">
        <f>POWER(POWER($C$8,0.25) - (POWER($C$8,0.25)-1)*EXP(-$C$9*B26/(4*POWER($C$8,0.25))), 4)</f>
        <v>283.07177753248936</v>
      </c>
      <c r="D26">
        <f>D25 + $C$10 * E25</f>
        <v>282.58874179305553</v>
      </c>
      <c r="E26">
        <f>$C$9 * POWER(D26, 0.75) * (1 - POWER(D26/$C$8, 0.25))</f>
        <v>0.30677012446643381</v>
      </c>
      <c r="F26">
        <f t="shared" si="0"/>
        <v>280.07684337038171</v>
      </c>
      <c r="G26">
        <f>$C$9 * POWER(F26, 0.75) * (1 - POWER(F26/$C$8, 0.25))</f>
        <v>0.34983839518165255</v>
      </c>
      <c r="H26">
        <f>F26 + $C$10 * G26</f>
        <v>287.07361127401475</v>
      </c>
      <c r="I26">
        <f>$C$9 * POWER(H26, 0.75) * (1 - POWER(H26/$C$8, 0.25))</f>
        <v>0.22911433367455178</v>
      </c>
      <c r="J26">
        <f>F26 + ($C$10 / 2) * (G26 + I26)</f>
        <v>285.86637065894377</v>
      </c>
    </row>
    <row r="27" spans="2:10">
      <c r="B27">
        <f>B26+$C$10</f>
        <v>240</v>
      </c>
      <c r="C27">
        <f>POWER(POWER($C$8,0.25) - (POWER($C$8,0.25)-1)*EXP(-$C$9*B27/(4*POWER($C$8,0.25))), 4)</f>
        <v>288.11690033091929</v>
      </c>
      <c r="D27">
        <f>D26 + $C$10 * E26</f>
        <v>288.7241442823842</v>
      </c>
      <c r="E27">
        <f>$C$9 * POWER(D27, 0.75) * (1 - POWER(D27/$C$8, 0.25))</f>
        <v>0.20029322252933512</v>
      </c>
      <c r="F27">
        <f t="shared" si="0"/>
        <v>285.86637065894377</v>
      </c>
      <c r="G27">
        <f>$C$9 * POWER(F27, 0.75) * (1 - POWER(F27/$C$8, 0.25))</f>
        <v>0.25011274363100744</v>
      </c>
      <c r="H27">
        <f>F27 + $C$10 * G27</f>
        <v>290.86862553156391</v>
      </c>
      <c r="I27">
        <f>$C$9 * POWER(H27, 0.75) * (1 - POWER(H27/$C$8, 0.25))</f>
        <v>0.16265475082197023</v>
      </c>
      <c r="J27">
        <f>F27 + ($C$10 / 2) * (G27 + I27)</f>
        <v>289.99404560347352</v>
      </c>
    </row>
    <row r="28" spans="2:10">
      <c r="B28">
        <f>B27+$C$10</f>
        <v>260</v>
      </c>
      <c r="C28">
        <f>POWER(POWER($C$8,0.25) - (POWER($C$8,0.25)-1)*EXP(-$C$9*B28/(4*POWER($C$8,0.25))), 4)</f>
        <v>291.67498123996745</v>
      </c>
      <c r="D28">
        <f>D27 + $C$10 * E27</f>
        <v>292.73000873297093</v>
      </c>
      <c r="E28">
        <f>$C$9 * POWER(D28, 0.75) * (1 - POWER(D28/$C$8, 0.25))</f>
        <v>0.12981036650860331</v>
      </c>
      <c r="F28">
        <f t="shared" si="0"/>
        <v>289.99404560347352</v>
      </c>
      <c r="G28">
        <f>$C$9 * POWER(F28, 0.75) * (1 - POWER(F28/$C$8, 0.25))</f>
        <v>0.17803089802558028</v>
      </c>
      <c r="H28">
        <f>F28 + $C$10 * G28</f>
        <v>293.55466356398512</v>
      </c>
      <c r="I28">
        <f>$C$9 * POWER(H28, 0.75) * (1 - POWER(H28/$C$8, 0.25))</f>
        <v>0.1152076817976783</v>
      </c>
      <c r="J28">
        <f>F28 + ($C$10 / 2) * (G28 + I28)</f>
        <v>292.92643140170611</v>
      </c>
    </row>
    <row r="29" spans="2:10">
      <c r="B29">
        <f>B28+$C$10</f>
        <v>280</v>
      </c>
      <c r="C29">
        <f>POWER(POWER($C$8,0.25) - (POWER($C$8,0.25)-1)*EXP(-$C$9*B29/(4*POWER($C$8,0.25))), 4)</f>
        <v>294.1757563830904</v>
      </c>
      <c r="D29">
        <f>D28 + $C$10 * E28</f>
        <v>295.32621606314302</v>
      </c>
      <c r="E29">
        <f>$C$9 * POWER(D29, 0.75) * (1 - POWER(D29/$C$8, 0.25))</f>
        <v>8.3731366419139641E-2</v>
      </c>
      <c r="F29">
        <f>J28</f>
        <v>292.92643140170611</v>
      </c>
      <c r="G29">
        <f>$C$9 * POWER(F29, 0.75) * (1 - POWER(F29/$C$8, 0.25))</f>
        <v>0.12633504820211852</v>
      </c>
      <c r="H29">
        <f>F29 + $C$10 * G29</f>
        <v>295.4531323657485</v>
      </c>
      <c r="I29">
        <f>$C$9 * POWER(H29, 0.75) * (1 - POWER(H29/$C$8, 0.25))</f>
        <v>8.1470814526862903E-2</v>
      </c>
      <c r="J29">
        <f>F29 + ($C$10 / 2) * (G29 + I29)</f>
        <v>295.00449002899592</v>
      </c>
    </row>
    <row r="30" spans="2:10">
      <c r="B30">
        <f>B29+$C$10</f>
        <v>300</v>
      </c>
      <c r="C30">
        <f>POWER(POWER($C$8,0.25) - (POWER($C$8,0.25)-1)*EXP(-$C$9*B30/(4*POWER($C$8,0.25))), 4)</f>
        <v>295.92924564874346</v>
      </c>
      <c r="D30">
        <f>D29 + $C$10 * E29</f>
        <v>297.00084339152579</v>
      </c>
      <c r="E30">
        <f>$C$9 * POWER(D30, 0.75) * (1 - POWER(D30/$C$8, 0.25))</f>
        <v>5.3844585945770483E-2</v>
      </c>
      <c r="F30">
        <f t="shared" ref="F30:F35" si="1">J29</f>
        <v>295.00449002899592</v>
      </c>
      <c r="G30">
        <f>$C$9 * POWER(F30, 0.75) * (1 - POWER(F30/$C$8, 0.25))</f>
        <v>8.945842766167536E-2</v>
      </c>
      <c r="H30">
        <f>F30 + $C$10 * G30</f>
        <v>296.7936585822294</v>
      </c>
      <c r="I30">
        <f>$C$9 * POWER(H30, 0.75) * (1 - POWER(H30/$C$8, 0.25))</f>
        <v>5.7549130586241684E-2</v>
      </c>
      <c r="J30">
        <f>F30 + ($C$10 / 2) * (G30 + I30)</f>
        <v>296.4745656114751</v>
      </c>
    </row>
    <row r="31" spans="2:10">
      <c r="B31">
        <f>B30+$C$10</f>
        <v>320</v>
      </c>
      <c r="C31">
        <f>POWER(POWER($C$8,0.25) - (POWER($C$8,0.25)-1)*EXP(-$C$9*B31/(4*POWER($C$8,0.25))), 4)</f>
        <v>297.15672911573921</v>
      </c>
      <c r="D31">
        <f>D30 + $C$10 * E30</f>
        <v>298.07773511044121</v>
      </c>
      <c r="E31">
        <f>$C$9 * POWER(D31, 0.75) * (1 - POWER(D31/$C$8, 0.25))</f>
        <v>3.4557839906450422E-2</v>
      </c>
      <c r="F31">
        <f t="shared" si="1"/>
        <v>296.4745656114751</v>
      </c>
      <c r="G31">
        <f>$C$9 * POWER(F31, 0.75) * (1 - POWER(F31/$C$8, 0.25))</f>
        <v>6.3250801857504244E-2</v>
      </c>
      <c r="H31">
        <f>F31 + $C$10 * G31</f>
        <v>297.73958164862518</v>
      </c>
      <c r="I31">
        <f>$C$9 * POWER(H31, 0.75) * (1 - POWER(H31/$C$8, 0.25))</f>
        <v>4.0619731507916083E-2</v>
      </c>
      <c r="J31">
        <f>F31 + ($C$10 / 2) * (G31 + I31)</f>
        <v>297.51327094512931</v>
      </c>
    </row>
    <row r="32" spans="2:10">
      <c r="B32">
        <f>B31+$C$10</f>
        <v>340</v>
      </c>
      <c r="C32">
        <f>POWER(POWER($C$8,0.25) - (POWER($C$8,0.25)-1)*EXP(-$C$9*B32/(4*POWER($C$8,0.25))), 4)</f>
        <v>298.01501147462045</v>
      </c>
      <c r="D32">
        <f>D31 + $C$10 * E31</f>
        <v>298.7688919085702</v>
      </c>
      <c r="E32">
        <f>$C$9 * POWER(D32, 0.75) * (1 - POWER(D32/$C$8, 0.25))</f>
        <v>2.2151704235205048E-2</v>
      </c>
      <c r="F32">
        <f t="shared" si="1"/>
        <v>297.51327094512931</v>
      </c>
      <c r="G32">
        <f>$C$9 * POWER(F32, 0.75) * (1 - POWER(F32/$C$8, 0.25))</f>
        <v>4.4673774843605671E-2</v>
      </c>
      <c r="H32">
        <f>F32 + $C$10 * G32</f>
        <v>298.40674644200141</v>
      </c>
      <c r="I32">
        <f>$C$9 * POWER(H32, 0.75) * (1 - POWER(H32/$C$8, 0.25))</f>
        <v>2.8654849659353814E-2</v>
      </c>
      <c r="J32">
        <f>F32 + ($C$10 / 2) * (G32 + I32)</f>
        <v>298.24655719015891</v>
      </c>
    </row>
    <row r="33" spans="2:10">
      <c r="B33">
        <f>B32+$C$10</f>
        <v>360</v>
      </c>
      <c r="C33">
        <f>POWER(POWER($C$8,0.25) - (POWER($C$8,0.25)-1)*EXP(-$C$9*B33/(4*POWER($C$8,0.25))), 4)</f>
        <v>298.6146617495499</v>
      </c>
      <c r="D33">
        <f>D32 + $C$10 * E32</f>
        <v>299.21192599327429</v>
      </c>
      <c r="E33">
        <f>$C$9 * POWER(D33, 0.75) * (1 - POWER(D33/$C$8, 0.25))</f>
        <v>1.4187943569736653E-2</v>
      </c>
      <c r="F33">
        <f t="shared" si="1"/>
        <v>298.24655719015891</v>
      </c>
      <c r="G33">
        <f>$C$9 * POWER(F33, 0.75) * (1 - POWER(F33/$C$8, 0.25))</f>
        <v>3.152951508230227E-2</v>
      </c>
      <c r="H33">
        <f>F33 + $C$10 * G33</f>
        <v>298.87714749180498</v>
      </c>
      <c r="I33">
        <f>$C$9 * POWER(H33, 0.75) * (1 - POWER(H33/$C$8, 0.25))</f>
        <v>2.0206575607148215E-2</v>
      </c>
      <c r="J33">
        <f>F33 + ($C$10 / 2) * (G33 + I33)</f>
        <v>298.76391809705342</v>
      </c>
    </row>
    <row r="34" spans="2:10">
      <c r="B34">
        <f>B33+$C$10</f>
        <v>380</v>
      </c>
      <c r="C34">
        <f>POWER(POWER($C$8,0.25) - (POWER($C$8,0.25)-1)*EXP(-$C$9*B34/(4*POWER($C$8,0.25))), 4)</f>
        <v>299.03338243464492</v>
      </c>
      <c r="D34">
        <f>D33 + $C$10 * E33</f>
        <v>299.49568486466904</v>
      </c>
      <c r="E34">
        <f>$C$9 * POWER(D34, 0.75) * (1 - POWER(D34/$C$8, 0.25))</f>
        <v>9.0825729964703027E-3</v>
      </c>
      <c r="F34">
        <f t="shared" si="1"/>
        <v>298.76391809705342</v>
      </c>
      <c r="G34">
        <f>$C$9 * POWER(F34, 0.75) * (1 - POWER(F34/$C$8, 0.25))</f>
        <v>2.2241060577177559E-2</v>
      </c>
      <c r="H34">
        <f>F34 + $C$10 * G34</f>
        <v>299.20873930859699</v>
      </c>
      <c r="I34">
        <f>$C$9 * POWER(H34, 0.75) * (1 - POWER(H34/$C$8, 0.25))</f>
        <v>1.4245257528636852E-2</v>
      </c>
      <c r="J34">
        <f>F34 + ($C$10 / 2) * (G34 + I34)</f>
        <v>299.12878127811155</v>
      </c>
    </row>
    <row r="35" spans="2:10">
      <c r="B35">
        <f>B34+$C$10</f>
        <v>400</v>
      </c>
      <c r="C35">
        <f>POWER(POWER($C$8,0.25) - (POWER($C$8,0.25)-1)*EXP(-$C$9*B35/(4*POWER($C$8,0.25))), 4)</f>
        <v>299.32565129174293</v>
      </c>
      <c r="D35">
        <f>D34 + $C$10 * E34</f>
        <v>299.67733632459846</v>
      </c>
      <c r="E35">
        <f>$C$9 * POWER(D35, 0.75) * (1 - POWER(D35/$C$8, 0.25))</f>
        <v>5.8124034040656896E-3</v>
      </c>
      <c r="F35">
        <f t="shared" si="1"/>
        <v>299.12878127811155</v>
      </c>
      <c r="G35">
        <f>$C$9 * POWER(F35, 0.75) * (1 - POWER(F35/$C$8, 0.25))</f>
        <v>1.5683188443891785E-2</v>
      </c>
      <c r="H35">
        <f>F35 + $C$10 * G35</f>
        <v>299.44244504698941</v>
      </c>
      <c r="I35">
        <f>$C$9 * POWER(H35, 0.75) * (1 - POWER(H35/$C$8, 0.25))</f>
        <v>1.0040737396944268E-2</v>
      </c>
      <c r="J35">
        <f>F35 + ($C$10 / 2) * (G35 + I35)</f>
        <v>299.38602053651988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36B0-6210-461D-BE23-38C739798A1A}">
  <dimension ref="B7:J55"/>
  <sheetViews>
    <sheetView zoomScale="88" zoomScaleNormal="53" workbookViewId="0">
      <selection activeCell="C17" sqref="C17"/>
    </sheetView>
  </sheetViews>
  <sheetFormatPr baseColWidth="10" defaultRowHeight="14.4"/>
  <sheetData>
    <row r="7" spans="2:10" ht="15" customHeight="1"/>
    <row r="8" spans="2:10">
      <c r="B8" t="s">
        <v>14</v>
      </c>
      <c r="C8">
        <v>5</v>
      </c>
    </row>
    <row r="9" spans="2:10">
      <c r="B9" t="s">
        <v>15</v>
      </c>
      <c r="C9">
        <v>2</v>
      </c>
    </row>
    <row r="10" spans="2:10">
      <c r="B10" t="s">
        <v>1</v>
      </c>
      <c r="C10">
        <v>0.25</v>
      </c>
    </row>
    <row r="11" spans="2:10">
      <c r="B11" t="s">
        <v>2</v>
      </c>
      <c r="C11">
        <v>0</v>
      </c>
    </row>
    <row r="12" spans="2:10">
      <c r="B12" t="s">
        <v>16</v>
      </c>
      <c r="C12">
        <v>0.5</v>
      </c>
    </row>
    <row r="13" spans="2:10" ht="15" thickBot="1"/>
    <row r="14" spans="2:10" ht="15" thickBot="1">
      <c r="B14" s="2" t="s">
        <v>17</v>
      </c>
      <c r="C14" s="2" t="s">
        <v>18</v>
      </c>
      <c r="D14" s="2" t="s">
        <v>19</v>
      </c>
      <c r="E14" s="2" t="s">
        <v>20</v>
      </c>
      <c r="F14" s="2" t="s">
        <v>21</v>
      </c>
      <c r="G14" s="2" t="s">
        <v>10</v>
      </c>
      <c r="H14" s="2" t="s">
        <v>11</v>
      </c>
      <c r="I14" s="2" t="s">
        <v>12</v>
      </c>
      <c r="J14" s="2" t="s">
        <v>13</v>
      </c>
    </row>
    <row r="15" spans="2:10">
      <c r="B15">
        <f>$C$11</f>
        <v>0</v>
      </c>
      <c r="C15">
        <f>C12</f>
        <v>0.5</v>
      </c>
      <c r="D15">
        <f>C12</f>
        <v>0.5</v>
      </c>
      <c r="E15">
        <f>$C$8*POWER(D15, 2/3) - $C$9*D15</f>
        <v>2.1498026247371831</v>
      </c>
      <c r="F15">
        <f>$C$12</f>
        <v>0.5</v>
      </c>
      <c r="G15">
        <f>$C$8*POWER(F15, 2/3) - $C$9*F15</f>
        <v>2.1498026247371831</v>
      </c>
      <c r="H15">
        <f>F15 + $C$10 * G15</f>
        <v>1.0374506561842958</v>
      </c>
      <c r="I15">
        <f>$C$8*POWER(H15, 2/3) - $C$9*H15</f>
        <v>3.0491677059399884</v>
      </c>
      <c r="J15">
        <f>F15 + ($C$10/2) * (G15 + I15)</f>
        <v>1.1498712913346465</v>
      </c>
    </row>
    <row r="16" spans="2:10">
      <c r="B16">
        <f>B15 + $C$10</f>
        <v>0.25</v>
      </c>
      <c r="C16">
        <f>POWER(2.5 - (2.5 - POWER($C$12, 1/3)) * EXP((-2/3)*B16), 3)</f>
        <v>1.1764086917285848</v>
      </c>
      <c r="D16">
        <f>D15 + $C$10 * E15</f>
        <v>1.0374506561842958</v>
      </c>
      <c r="E16">
        <f>$C$8*POWER(D16, 2/3) - $C$9*D16</f>
        <v>3.0491677059399884</v>
      </c>
      <c r="F16">
        <f>J15</f>
        <v>1.1498712913346465</v>
      </c>
      <c r="G16" s="3">
        <f>$C$8*POWER(F16, 2/3) - $C$9*F16</f>
        <v>3.1881149088048573</v>
      </c>
      <c r="H16">
        <f>F16 + $C$10 * G16</f>
        <v>1.9469000185358607</v>
      </c>
      <c r="I16">
        <f>$C$8*POWER(H16, 2/3) - $C$9*H16</f>
        <v>3.9020911819757158</v>
      </c>
      <c r="J16">
        <f>F16 + ($C$10/2) * (G16 + I16)</f>
        <v>2.0361470526822183</v>
      </c>
    </row>
    <row r="17" spans="2:10">
      <c r="B17">
        <f>B16 + $C$10</f>
        <v>0.5</v>
      </c>
      <c r="C17">
        <f>POWER(2.5 - (2.5 - POWER($C$12, 1/3)) * EXP((-2/3)*B17), 3)</f>
        <v>2.0843152107295784</v>
      </c>
      <c r="D17">
        <f>D16 + $C$10 * E16</f>
        <v>1.799742582669293</v>
      </c>
      <c r="E17">
        <f>$C$8*POWER(D17, 2/3) - $C$9*D17</f>
        <v>3.7984456566954883</v>
      </c>
      <c r="F17">
        <f t="shared" ref="F17:F55" si="0">J16</f>
        <v>2.0361470526822183</v>
      </c>
      <c r="G17" s="3">
        <f>$C$8*POWER(F17, 2/3) - $C$9*F17</f>
        <v>3.9600584888372534</v>
      </c>
      <c r="H17">
        <f>F17 + $C$10 * G17</f>
        <v>3.0261616748915316</v>
      </c>
      <c r="I17">
        <f>$C$8*POWER(H17, 2/3) - $C$9*H17</f>
        <v>4.4084731971159341</v>
      </c>
      <c r="J17">
        <f>F17 + ($C$10/2) * (G17 + I17)</f>
        <v>3.0822135134263666</v>
      </c>
    </row>
    <row r="18" spans="2:10">
      <c r="B18">
        <f>B17 + $C$10</f>
        <v>0.75</v>
      </c>
      <c r="C18">
        <f>POWER(2.5 - (2.5 - POWER($C$12, 1/3)) * EXP((-2/3)*B18), 3)</f>
        <v>3.1447157790625315</v>
      </c>
      <c r="D18">
        <f>D17 + $C$10 * E17</f>
        <v>2.7493539968431651</v>
      </c>
      <c r="E18">
        <f>$C$8*POWER(D18, 2/3) - $C$9*D18</f>
        <v>4.3140354759868247</v>
      </c>
      <c r="F18">
        <f t="shared" si="0"/>
        <v>3.0822135134263666</v>
      </c>
      <c r="G18" s="3">
        <f>$C$8*POWER(F18, 2/3) - $C$9*F18</f>
        <v>4.4251468491937409</v>
      </c>
      <c r="H18">
        <f>F18 + $C$10 * G18</f>
        <v>4.1885002257248019</v>
      </c>
      <c r="I18">
        <f>$C$8*POWER(H18, 2/3) - $C$9*H18</f>
        <v>4.6149902118568811</v>
      </c>
      <c r="J18">
        <f>F18 + ($C$10/2) * (G18 + I18)</f>
        <v>4.2122306460576944</v>
      </c>
    </row>
    <row r="19" spans="2:10">
      <c r="B19">
        <f>B18 + $C$10</f>
        <v>1</v>
      </c>
      <c r="C19">
        <f>POWER(2.5 - (2.5 - POWER($C$12, 1/3)) * EXP((-2/3)*B19), 3)</f>
        <v>4.2827555620548496</v>
      </c>
      <c r="D19">
        <f>D18 + $C$10 * E18</f>
        <v>3.8278628658398715</v>
      </c>
      <c r="E19">
        <f>$C$8*POWER(D19, 2/3) - $C$9*D19</f>
        <v>4.579376001034392</v>
      </c>
      <c r="F19">
        <f t="shared" si="0"/>
        <v>4.2122306460576944</v>
      </c>
      <c r="G19" s="3">
        <f>$C$8*POWER(F19, 2/3) - $C$9*F19</f>
        <v>4.6165548759912856</v>
      </c>
      <c r="H19">
        <f>F19 + $C$10 * G19</f>
        <v>5.3663693650555153</v>
      </c>
      <c r="I19">
        <f>$C$8*POWER(H19, 2/3) - $C$9*H19</f>
        <v>4.5930809738510199</v>
      </c>
      <c r="J19">
        <f>F19 + ($C$10/2) * (G19 + I19)</f>
        <v>5.3634351272879828</v>
      </c>
    </row>
    <row r="20" spans="2:10">
      <c r="B20">
        <f>B19 + $C$10</f>
        <v>1.25</v>
      </c>
      <c r="C20">
        <f>POWER(2.5 - (2.5 - POWER($C$12, 1/3)) * EXP((-2/3)*B20), 3)</f>
        <v>5.4373412925704194</v>
      </c>
      <c r="D20">
        <f>D19 + $C$10 * E19</f>
        <v>4.9727068660984699</v>
      </c>
      <c r="E20">
        <f>$C$8*POWER(D20, 2/3) - $C$9*D20</f>
        <v>4.6214226993982468</v>
      </c>
      <c r="F20">
        <f t="shared" si="0"/>
        <v>5.3634351272879828</v>
      </c>
      <c r="G20" s="3">
        <f>$C$8*POWER(F20, 2/3) - $C$9*F20</f>
        <v>4.5933623450789813</v>
      </c>
      <c r="H20">
        <f>F20 + $C$10 * G20</f>
        <v>6.5117757135577286</v>
      </c>
      <c r="I20">
        <f>$C$8*POWER(H20, 2/3) - $C$9*H20</f>
        <v>4.4120243389262228</v>
      </c>
      <c r="J20">
        <f>F20 + ($C$10/2) * (G20 + I20)</f>
        <v>6.4891084627886331</v>
      </c>
    </row>
    <row r="21" spans="2:10">
      <c r="B21">
        <f>B20 + $C$10</f>
        <v>1.5</v>
      </c>
      <c r="C21">
        <f>POWER(2.5 - (2.5 - POWER($C$12, 1/3)) * EXP((-2/3)*B21), 3)</f>
        <v>6.5632298752638647</v>
      </c>
      <c r="D21">
        <f>D20 + $C$10 * E20</f>
        <v>6.1280625409480312</v>
      </c>
      <c r="E21">
        <f>$C$8*POWER(D21, 2/3) - $C$9*D21</f>
        <v>4.4876017597218016</v>
      </c>
      <c r="F21">
        <f t="shared" si="0"/>
        <v>6.4891084627886331</v>
      </c>
      <c r="G21" s="3">
        <f>$C$8*POWER(F21, 2/3) - $C$9*F21</f>
        <v>4.4168735995626331</v>
      </c>
      <c r="H21">
        <f>F21 + $C$10 * G21</f>
        <v>7.5933268626792909</v>
      </c>
      <c r="I21">
        <f>$C$8*POWER(H21, 2/3) - $C$9*H21</f>
        <v>4.1296815239273741</v>
      </c>
      <c r="J21">
        <f>F21 + ($C$10/2) * (G21 + I21)</f>
        <v>7.5574278532248842</v>
      </c>
    </row>
    <row r="22" spans="2:10">
      <c r="B22">
        <f>B21 + $C$10</f>
        <v>1.75</v>
      </c>
      <c r="C22">
        <f>POWER(2.5 - (2.5 - POWER($C$12, 1/3)) * EXP((-2/3)*B22), 3)</f>
        <v>7.6296991764045687</v>
      </c>
      <c r="D22">
        <f>D21 + $C$10 * E21</f>
        <v>7.2499629808784816</v>
      </c>
      <c r="E22">
        <f>$C$8*POWER(D22, 2/3) - $C$9*D22</f>
        <v>4.2296177402319923</v>
      </c>
      <c r="F22">
        <f t="shared" si="0"/>
        <v>7.5574278532248842</v>
      </c>
      <c r="G22" s="3">
        <f>$C$8*POWER(F22, 2/3) - $C$9*F22</f>
        <v>4.1405501803357208</v>
      </c>
      <c r="H22">
        <f>F22 + $C$10 * G22</f>
        <v>8.5925653983088139</v>
      </c>
      <c r="I22">
        <f>$C$8*POWER(H22, 2/3) - $C$9*H22</f>
        <v>3.7906708961546087</v>
      </c>
      <c r="J22">
        <f>F22 + ($C$10/2) * (G22 + I22)</f>
        <v>8.5488304877861747</v>
      </c>
    </row>
    <row r="23" spans="2:10">
      <c r="B23">
        <f>B22 + $C$10</f>
        <v>2</v>
      </c>
      <c r="C23">
        <f>POWER(2.5 - (2.5 - POWER($C$12, 1/3)) * EXP((-2/3)*B23), 3)</f>
        <v>8.6179536998015553</v>
      </c>
      <c r="D23">
        <f>D22 + $C$10 * E22</f>
        <v>8.3073674159364792</v>
      </c>
      <c r="E23">
        <f>$C$8*POWER(D23, 2/3) - $C$9*D23</f>
        <v>3.8943186135670977</v>
      </c>
      <c r="F23">
        <f t="shared" si="0"/>
        <v>8.5488304877861747</v>
      </c>
      <c r="G23" s="3">
        <f>$C$8*POWER(F23, 2/3) - $C$9*F23</f>
        <v>3.8069043439909223</v>
      </c>
      <c r="H23">
        <f>F23 + $C$10 * G23</f>
        <v>9.5005565737839053</v>
      </c>
      <c r="I23">
        <f>$C$8*POWER(H23, 2/3) - $C$9*H23</f>
        <v>3.4275146188962715</v>
      </c>
      <c r="J23">
        <f>F23 + ($C$10/2) * (G23 + I23)</f>
        <v>9.4531328581470735</v>
      </c>
    </row>
    <row r="24" spans="2:10">
      <c r="B24">
        <f>B23 + $C$10</f>
        <v>2.25</v>
      </c>
      <c r="C24">
        <f>POWER(2.5 - (2.5 - POWER($C$12, 1/3)) * EXP((-2/3)*B24), 3)</f>
        <v>9.5183307602742016</v>
      </c>
      <c r="D24">
        <f>D23 + $C$10 * E23</f>
        <v>9.2809470693282528</v>
      </c>
      <c r="E24">
        <f>$C$8*POWER(D24, 2/3) - $C$9*D24</f>
        <v>3.5197565209945836</v>
      </c>
      <c r="F24">
        <f t="shared" si="0"/>
        <v>9.4531328581470735</v>
      </c>
      <c r="G24" s="3">
        <f>$C$8*POWER(F24, 2/3) - $C$9*F24</f>
        <v>3.4476621646306818</v>
      </c>
      <c r="H24">
        <f>F24 + $C$10 * G24</f>
        <v>10.315048399304743</v>
      </c>
      <c r="I24">
        <f>$C$8*POWER(H24, 2/3) - $C$9*H24</f>
        <v>3.0627648109070797</v>
      </c>
      <c r="J24">
        <f>F24 + ($C$10/2) * (G24 + I24)</f>
        <v>10.266936230089293</v>
      </c>
    </row>
    <row r="25" spans="2:10">
      <c r="B25">
        <f>B24 + $C$10</f>
        <v>2.5</v>
      </c>
      <c r="C25">
        <f>POWER(2.5 - (2.5 - POWER($C$12, 1/3)) * EXP((-2/3)*B25), 3)</f>
        <v>10.327783161904074</v>
      </c>
      <c r="D25">
        <f>D24 + $C$10 * E24</f>
        <v>10.160886199576899</v>
      </c>
      <c r="E25">
        <f>$C$8*POWER(D25, 2/3) - $C$9*D25</f>
        <v>3.1344315564865148</v>
      </c>
      <c r="F25">
        <f t="shared" si="0"/>
        <v>10.266936230089293</v>
      </c>
      <c r="G25" s="3">
        <f>$C$8*POWER(F25, 2/3) - $C$9*F25</f>
        <v>3.0852584916320538</v>
      </c>
      <c r="H25">
        <f>F25 + $C$10 * G25</f>
        <v>11.038250852997306</v>
      </c>
      <c r="I25">
        <f>$C$8*POWER(H25, 2/3) - $C$9*H25</f>
        <v>2.7112332632714349</v>
      </c>
      <c r="J25">
        <f>F25 + ($C$10/2) * (G25 + I25)</f>
        <v>10.991497699452228</v>
      </c>
    </row>
    <row r="26" spans="2:10">
      <c r="B26">
        <f>B25 + $C$10</f>
        <v>2.75</v>
      </c>
      <c r="C26">
        <f>POWER(2.5 - (2.5 - POWER($C$12, 1/3)) * EXP((-2/3)*B26), 3)</f>
        <v>11.04780649183674</v>
      </c>
      <c r="D26">
        <f>D25 + $C$10 * E25</f>
        <v>10.944494088698526</v>
      </c>
      <c r="E26">
        <f>$C$8*POWER(D26, 2/3) - $C$9*D26</f>
        <v>2.7581858583718883</v>
      </c>
      <c r="F26">
        <f t="shared" si="0"/>
        <v>10.991497699452228</v>
      </c>
      <c r="G26" s="3">
        <f>$C$8*POWER(F26, 2/3) - $C$9*F26</f>
        <v>2.7346968048426348</v>
      </c>
      <c r="H26">
        <f>F26 + $C$10 * G26</f>
        <v>11.675171900662887</v>
      </c>
      <c r="I26">
        <f>$C$8*POWER(H26, 2/3) - $C$9*H26</f>
        <v>2.3819712563508304</v>
      </c>
      <c r="J26">
        <f>F26 + ($C$10/2) * (G26 + I26)</f>
        <v>11.631081207101412</v>
      </c>
    </row>
    <row r="27" spans="2:10">
      <c r="B27">
        <f>B26 + $C$10</f>
        <v>3</v>
      </c>
      <c r="C27">
        <f>POWER(2.5 - (2.5 - POWER($C$12, 1/3)) * EXP((-2/3)*B27), 3)</f>
        <v>11.682827794697335</v>
      </c>
      <c r="D27">
        <f>D26 + $C$10 * E26</f>
        <v>11.634040553291499</v>
      </c>
      <c r="E27">
        <f>$C$8*POWER(D27, 2/3) - $C$9*D27</f>
        <v>2.4037621950680865</v>
      </c>
      <c r="F27">
        <f t="shared" si="0"/>
        <v>11.631081207101412</v>
      </c>
      <c r="G27" s="3">
        <f>$C$8*POWER(F27, 2/3) - $C$9*F27</f>
        <v>2.4053272785992554</v>
      </c>
      <c r="H27">
        <f>F27 + $C$10 * G27</f>
        <v>12.232413026751225</v>
      </c>
      <c r="I27">
        <f>$C$8*POWER(H27, 2/3) - $C$9*H27</f>
        <v>2.0798906905496715</v>
      </c>
      <c r="J27">
        <f>F27 + ($C$10/2) * (G27 + I27)</f>
        <v>12.191733453245028</v>
      </c>
    </row>
    <row r="28" spans="2:10">
      <c r="B28">
        <f>B27 + $C$10</f>
        <v>3.25</v>
      </c>
      <c r="C28">
        <f>POWER(2.5 - (2.5 - POWER($C$12, 1/3)) * EXP((-2/3)*B28), 3)</f>
        <v>12.239005777513249</v>
      </c>
      <c r="D28">
        <f>D27 + $C$10 * E27</f>
        <v>12.234981102058519</v>
      </c>
      <c r="E28">
        <f>$C$8*POWER(D28, 2/3) - $C$9*D28</f>
        <v>2.07846961214819</v>
      </c>
      <c r="F28">
        <f t="shared" si="0"/>
        <v>12.191733453245028</v>
      </c>
      <c r="G28" s="3">
        <f>$C$8*POWER(F28, 2/3) - $C$9*F28</f>
        <v>2.1023665442140569</v>
      </c>
      <c r="H28">
        <f>F28 + $C$10 * G28</f>
        <v>12.717325089298543</v>
      </c>
      <c r="I28">
        <f>$C$8*POWER(H28, 2/3) - $C$9*H28</f>
        <v>1.8070276900933422</v>
      </c>
      <c r="J28">
        <f>F28 + ($C$10/2) * (G28 + I28)</f>
        <v>12.680407732533453</v>
      </c>
    </row>
    <row r="29" spans="2:10">
      <c r="B29">
        <f>B28 + $C$10</f>
        <v>3.5</v>
      </c>
      <c r="C29">
        <f>POWER(2.5 - (2.5 - POWER($C$12, 1/3)) * EXP((-2/3)*B29), 3)</f>
        <v>12.72337017559216</v>
      </c>
      <c r="D29">
        <f>D28 + $C$10 * E28</f>
        <v>12.754598505095567</v>
      </c>
      <c r="E29">
        <f>$C$8*POWER(D29, 2/3) - $C$9*D29</f>
        <v>1.7856836098664068</v>
      </c>
      <c r="F29">
        <f t="shared" si="0"/>
        <v>12.680407732533453</v>
      </c>
      <c r="G29" s="3">
        <f>$C$8*POWER(F29, 2/3) - $C$9*F29</f>
        <v>1.8281166186123627</v>
      </c>
      <c r="H29">
        <f>F29 + $C$10 * G29</f>
        <v>13.137436887186544</v>
      </c>
      <c r="I29">
        <f>$C$8*POWER(H29, 2/3) - $C$9*H29</f>
        <v>1.5634938773720997</v>
      </c>
      <c r="J29">
        <f>F29 + ($C$10/2) * (G29 + I29)</f>
        <v>13.104359044531511</v>
      </c>
    </row>
    <row r="30" spans="2:10">
      <c r="B30">
        <f>B29 + $C$10</f>
        <v>3.75</v>
      </c>
      <c r="C30">
        <f>POWER(2.5 - (2.5 - POWER($C$12, 1/3)) * EXP((-2/3)*B30), 3)</f>
        <v>13.143226932256256</v>
      </c>
      <c r="D30">
        <f>D29 + $C$10 * E29</f>
        <v>13.201019407562168</v>
      </c>
      <c r="E30">
        <f>$C$8*POWER(D30, 2/3) - $C$9*D30</f>
        <v>1.5260778944269191</v>
      </c>
      <c r="F30">
        <f t="shared" si="0"/>
        <v>13.104359044531511</v>
      </c>
      <c r="G30" s="3">
        <f>$C$8*POWER(F30, 2/3) - $C$9*F30</f>
        <v>1.5829017329027373</v>
      </c>
      <c r="H30">
        <f>F30 + $C$10 * G30</f>
        <v>13.500084477757195</v>
      </c>
      <c r="I30">
        <f>$C$8*POWER(H30, 2/3) - $C$9*H30</f>
        <v>1.3481729284464059</v>
      </c>
      <c r="J30">
        <f>F30 + ($C$10/2) * (G30 + I30)</f>
        <v>13.470743377200154</v>
      </c>
    </row>
    <row r="31" spans="2:10">
      <c r="B31">
        <f>B30 + $C$10</f>
        <v>4</v>
      </c>
      <c r="C31">
        <f>POWER(2.5 - (2.5 - POWER($C$12, 1/3)) * EXP((-2/3)*B31), 3)</f>
        <v>13.505764225663038</v>
      </c>
      <c r="D31">
        <f>D30 + $C$10 * E30</f>
        <v>13.582538881168897</v>
      </c>
      <c r="E31">
        <f>$C$8*POWER(D31, 2/3) - $C$9*D31</f>
        <v>1.2985756298177904</v>
      </c>
      <c r="F31">
        <f t="shared" si="0"/>
        <v>13.470743377200154</v>
      </c>
      <c r="G31" s="3">
        <f>$C$8*POWER(F31, 2/3) - $C$9*F31</f>
        <v>1.3657653552371372</v>
      </c>
      <c r="H31">
        <f>F31 + $C$10 * G31</f>
        <v>13.812184716009439</v>
      </c>
      <c r="I31">
        <f>$C$8*POWER(H31, 2/3) - $C$9*H31</f>
        <v>1.1592181128356103</v>
      </c>
      <c r="J31">
        <f>F31 + ($C$10/2) * (G31 + I31)</f>
        <v>13.786366310709248</v>
      </c>
    </row>
    <row r="32" spans="2:10">
      <c r="B32">
        <f>B31 + $C$10</f>
        <v>4.25</v>
      </c>
      <c r="C32">
        <f>POWER(2.5 - (2.5 - POWER($C$12, 1/3)) * EXP((-2/3)*B32), 3)</f>
        <v>13.817805792635944</v>
      </c>
      <c r="D32">
        <f>D31 + $C$10 * E31</f>
        <v>13.907182788623345</v>
      </c>
      <c r="E32">
        <f>$C$8*POWER(D32, 2/3) - $C$9*D32</f>
        <v>1.1010505181400987</v>
      </c>
      <c r="F32">
        <f t="shared" si="0"/>
        <v>13.786366310709248</v>
      </c>
      <c r="G32" s="3">
        <f>$C$8*POWER(F32, 2/3) - $C$9*F32</f>
        <v>1.1749746212283725</v>
      </c>
      <c r="H32">
        <f>F32 + $C$10 * G32</f>
        <v>14.080109966016341</v>
      </c>
      <c r="I32">
        <f>$C$8*POWER(H32, 2/3) - $C$9*H32</f>
        <v>0.99439896457346322</v>
      </c>
      <c r="J32">
        <f>F32 + ($C$10/2) * (G32 + I32)</f>
        <v>14.057538008934477</v>
      </c>
    </row>
    <row r="33" spans="2:10">
      <c r="B33">
        <f>B32 + $C$10</f>
        <v>4.5</v>
      </c>
      <c r="C33">
        <f>POWER(2.5 - (2.5 - POWER($C$12, 1/3)) * EXP((-2/3)*B33), 3)</f>
        <v>14.085669381214011</v>
      </c>
      <c r="D33">
        <f>D32 + $C$10 * E32</f>
        <v>14.18244541815837</v>
      </c>
      <c r="E33">
        <f>$C$8*POWER(D33, 2/3) - $C$9*D33</f>
        <v>0.93082301014162994</v>
      </c>
      <c r="F33">
        <f t="shared" si="0"/>
        <v>14.057538008934477</v>
      </c>
      <c r="G33" s="3">
        <f>$C$8*POWER(F33, 2/3) - $C$9*F33</f>
        <v>1.0083758513184264</v>
      </c>
      <c r="H33">
        <f>F33 + $C$10 * G33</f>
        <v>14.309631971764084</v>
      </c>
      <c r="I33">
        <f>$C$8*POWER(H33, 2/3) - $C$9*H33</f>
        <v>0.85133623895499966</v>
      </c>
      <c r="J33">
        <f>F33 + ($C$10/2) * (G33 + I33)</f>
        <v>14.290002020218655</v>
      </c>
    </row>
    <row r="34" spans="2:10">
      <c r="B34">
        <f>B33 + $C$10</f>
        <v>4.75</v>
      </c>
      <c r="C34">
        <f>POWER(2.5 - (2.5 - POWER($C$12, 1/3)) * EXP((-2/3)*B34), 3)</f>
        <v>14.315098192089671</v>
      </c>
      <c r="D34">
        <f>D33 + $C$10 * E33</f>
        <v>14.415151170693777</v>
      </c>
      <c r="E34">
        <f>$C$8*POWER(D34, 2/3) - $C$9*D34</f>
        <v>0.78499780093190807</v>
      </c>
      <c r="F34">
        <f t="shared" si="0"/>
        <v>14.290002020218655</v>
      </c>
      <c r="G34" s="3">
        <f>$C$8*POWER(F34, 2/3) - $C$9*F34</f>
        <v>0.86363813216400942</v>
      </c>
      <c r="H34">
        <f>F34 + $C$10 * G34</f>
        <v>14.505911553259658</v>
      </c>
      <c r="I34">
        <f>$C$8*POWER(H34, 2/3) - $C$9*H34</f>
        <v>0.72765578927685226</v>
      </c>
      <c r="J34">
        <f>F34 + ($C$10/2) * (G34 + I34)</f>
        <v>14.488913760398763</v>
      </c>
    </row>
    <row r="35" spans="2:10">
      <c r="B35">
        <f>B34 + $C$10</f>
        <v>5</v>
      </c>
      <c r="C35">
        <f>POWER(2.5 - (2.5 - POWER($C$12, 1/3)) * EXP((-2/3)*B35), 3)</f>
        <v>14.511241432742152</v>
      </c>
      <c r="D35">
        <f>D34 + $C$10 * E34</f>
        <v>14.611400620926755</v>
      </c>
      <c r="E35">
        <f>$C$8*POWER(D35, 2/3) - $C$9*D35</f>
        <v>0.6606833019654772</v>
      </c>
      <c r="F35">
        <f t="shared" si="0"/>
        <v>14.488913760398763</v>
      </c>
      <c r="G35" s="3">
        <f>$C$8*POWER(F35, 2/3) - $C$9*F35</f>
        <v>0.73841467477387113</v>
      </c>
      <c r="H35">
        <f>F35 + $C$10 * G35</f>
        <v>14.673517429092231</v>
      </c>
      <c r="I35">
        <f>$C$8*POWER(H35, 2/3) - $C$9*H35</f>
        <v>0.62108468901626068</v>
      </c>
      <c r="J35">
        <f>F35 + ($C$10/2) * (G35 + I35)</f>
        <v>14.65885118087253</v>
      </c>
    </row>
    <row r="36" spans="2:10">
      <c r="B36">
        <f>B35 + $C$10</f>
        <v>5.25</v>
      </c>
      <c r="C36">
        <f>POWER(2.5 - (2.5 - POWER($C$12, 1/3)) * EXP((-2/3)*B36), 3)</f>
        <v>14.678666633820793</v>
      </c>
      <c r="D36">
        <f>D35 + $C$10 * E35</f>
        <v>14.776571446418124</v>
      </c>
      <c r="E36">
        <f>$C$8*POWER(D36, 2/3) - $C$9*D36</f>
        <v>0.5551262538315811</v>
      </c>
      <c r="F36">
        <f t="shared" si="0"/>
        <v>14.65885118087253</v>
      </c>
      <c r="G36" s="3">
        <f>$C$8*POWER(F36, 2/3) - $C$9*F36</f>
        <v>0.63044500852085505</v>
      </c>
      <c r="H36">
        <f>F36 + $C$10 * G36</f>
        <v>14.816462433002744</v>
      </c>
      <c r="I36">
        <f>$C$8*POWER(H36, 2/3) - $C$9*H36</f>
        <v>0.52950699440849291</v>
      </c>
      <c r="J36">
        <f>F36 + ($C$10/2) * (G36 + I36)</f>
        <v>14.803845181238698</v>
      </c>
    </row>
    <row r="37" spans="2:10">
      <c r="B37">
        <f>B36 + $C$10</f>
        <v>5.5</v>
      </c>
      <c r="C37">
        <f>POWER(2.5 - (2.5 - POWER($C$12, 1/3)) * EXP((-2/3)*B37), 3)</f>
        <v>14.821391378285281</v>
      </c>
      <c r="D37">
        <f>D36 + $C$10 * E36</f>
        <v>14.91535300987602</v>
      </c>
      <c r="E37">
        <f>$C$8*POWER(D37, 2/3) - $C$9*D37</f>
        <v>0.46578717384742774</v>
      </c>
      <c r="F37">
        <f t="shared" si="0"/>
        <v>14.803845181238698</v>
      </c>
      <c r="G37" s="3">
        <f>$C$8*POWER(F37, 2/3) - $C$9*F37</f>
        <v>0.53761545623359908</v>
      </c>
      <c r="H37">
        <f>F37 + $C$10 * G37</f>
        <v>14.938249045297098</v>
      </c>
      <c r="I37">
        <f>$C$8*POWER(H37, 2/3) - $C$9*H37</f>
        <v>0.45099189896886571</v>
      </c>
      <c r="J37">
        <f>F37 + ($C$10/2) * (G37 + I37)</f>
        <v>14.927421100639005</v>
      </c>
    </row>
    <row r="38" spans="2:10">
      <c r="B38">
        <f>B37 + $C$10</f>
        <v>5.75</v>
      </c>
      <c r="C38">
        <f>POWER(2.5 - (2.5 - POWER($C$12, 1/3)) * EXP((-2/3)*B38), 3)</f>
        <v>14.942925839043054</v>
      </c>
      <c r="D38">
        <f>D37 + $C$10 * E37</f>
        <v>15.031799803337876</v>
      </c>
      <c r="E38">
        <f>$C$8*POWER(D38, 2/3) - $C$9*D38</f>
        <v>0.39037582738114196</v>
      </c>
      <c r="F38">
        <f t="shared" si="0"/>
        <v>14.927421100639005</v>
      </c>
      <c r="G38" s="3">
        <f>$C$8*POWER(F38, 2/3) - $C$9*F38</f>
        <v>0.45799082429860505</v>
      </c>
      <c r="H38">
        <f>F38 + $C$10 * G38</f>
        <v>15.041918806713657</v>
      </c>
      <c r="I38">
        <f>$C$8*POWER(H38, 2/3) - $C$9*H38</f>
        <v>0.38380348586321844</v>
      </c>
      <c r="J38">
        <f>F38 + ($C$10/2) * (G38 + I38)</f>
        <v>15.032645389409232</v>
      </c>
    </row>
    <row r="39" spans="2:10">
      <c r="B39">
        <f>B38 + $C$10</f>
        <v>6</v>
      </c>
      <c r="C39">
        <f>POWER(2.5 - (2.5 - POWER($C$12, 1/3)) * EXP((-2/3)*B39), 3)</f>
        <v>15.046320272748767</v>
      </c>
      <c r="D39">
        <f>D38 + $C$10 * E38</f>
        <v>15.129393760183161</v>
      </c>
      <c r="E39">
        <f>$C$8*POWER(D39, 2/3) - $C$9*D39</f>
        <v>0.32686064140223792</v>
      </c>
      <c r="F39">
        <f t="shared" si="0"/>
        <v>15.032645389409232</v>
      </c>
      <c r="G39" s="3">
        <f>$C$8*POWER(F39, 2/3) - $C$9*F39</f>
        <v>0.38982673253916644</v>
      </c>
      <c r="H39">
        <f>F39 + $C$10 * G39</f>
        <v>15.130102072544023</v>
      </c>
      <c r="I39">
        <f>$C$8*POWER(H39, 2/3) - $C$9*H39</f>
        <v>0.32639862746280812</v>
      </c>
      <c r="J39">
        <f>F39 + ($C$10/2) * (G39 + I39)</f>
        <v>15.122173559409479</v>
      </c>
    </row>
    <row r="40" spans="2:10">
      <c r="B40">
        <f>B39 + $C$10</f>
        <v>6.25</v>
      </c>
      <c r="C40">
        <f>POWER(2.5 - (2.5 - POWER($C$12, 1/3)) * EXP((-2/3)*B40), 3)</f>
        <v>15.134213605462453</v>
      </c>
      <c r="D40">
        <f>D39 + $C$10 * E39</f>
        <v>15.211108920533722</v>
      </c>
      <c r="E40">
        <f>$C$8*POWER(D40, 2/3) - $C$9*D40</f>
        <v>0.2734619027007561</v>
      </c>
      <c r="F40">
        <f t="shared" si="0"/>
        <v>15.122173559409479</v>
      </c>
      <c r="G40" s="3">
        <f>$C$8*POWER(F40, 2/3) - $C$9*F40</f>
        <v>0.33156934263348958</v>
      </c>
      <c r="H40">
        <f>F40 + $C$10 * G40</f>
        <v>15.20506589506785</v>
      </c>
      <c r="I40">
        <f>$C$8*POWER(H40, 2/3) - $C$9*H40</f>
        <v>0.27741762118226276</v>
      </c>
      <c r="J40">
        <f>F40 + ($C$10/2) * (G40 + I40)</f>
        <v>15.198296929886448</v>
      </c>
    </row>
    <row r="41" spans="2:10">
      <c r="B41">
        <f>B40 + $C$10</f>
        <v>6.5</v>
      </c>
      <c r="C41">
        <f>POWER(2.5 - (2.5 - POWER($C$12, 1/3)) * EXP((-2/3)*B41), 3)</f>
        <v>15.208880658784741</v>
      </c>
      <c r="D41">
        <f>D40 + $C$10 * E40</f>
        <v>15.279474396208911</v>
      </c>
      <c r="E41">
        <f>$C$8*POWER(D41, 2/3) - $C$9*D41</f>
        <v>0.2286355341273989</v>
      </c>
      <c r="F41">
        <f t="shared" si="0"/>
        <v>15.198296929886448</v>
      </c>
      <c r="G41" s="3">
        <f>$C$8*POWER(F41, 2/3) - $C$9*F41</f>
        <v>0.28184725521614595</v>
      </c>
      <c r="H41">
        <f>F41 + $C$10 * G41</f>
        <v>15.268758743690483</v>
      </c>
      <c r="I41">
        <f>$C$8*POWER(H41, 2/3) - $C$9*H41</f>
        <v>0.23567072315358928</v>
      </c>
      <c r="J41">
        <f>F41 + ($C$10/2) * (G41 + I41)</f>
        <v>15.262986677182665</v>
      </c>
    </row>
    <row r="42" spans="2:10">
      <c r="B42">
        <f>B41 + $C$10</f>
        <v>6.75</v>
      </c>
      <c r="C42">
        <f>POWER(2.5 - (2.5 - POWER($C$12, 1/3)) * EXP((-2/3)*B42), 3)</f>
        <v>15.272276552373153</v>
      </c>
      <c r="D42">
        <f>D41 + $C$10 * E41</f>
        <v>15.336633279740761</v>
      </c>
      <c r="E42">
        <f>$C$8*POWER(D42, 2/3) - $C$9*D42</f>
        <v>0.19105201971272834</v>
      </c>
      <c r="F42">
        <f t="shared" si="0"/>
        <v>15.262986677182665</v>
      </c>
      <c r="G42" s="3">
        <f>$C$8*POWER(F42, 2/3) - $C$9*F42</f>
        <v>0.23945888485718214</v>
      </c>
      <c r="H42">
        <f>F42 + $C$10 * G42</f>
        <v>15.32285139839696</v>
      </c>
      <c r="I42">
        <f>$C$8*POWER(H42, 2/3) - $C$9*H42</f>
        <v>0.20012271412012694</v>
      </c>
      <c r="J42">
        <f>F42 + ($C$10/2) * (G42 + I42)</f>
        <v>15.317934377054829</v>
      </c>
    </row>
    <row r="43" spans="2:10">
      <c r="B43">
        <f>B42 + $C$10</f>
        <v>7</v>
      </c>
      <c r="C43">
        <f>POWER(2.5 - (2.5 - POWER($C$12, 1/3)) * EXP((-2/3)*B43), 3)</f>
        <v>15.326077495607297</v>
      </c>
      <c r="D43">
        <f>D42 + $C$10 * E42</f>
        <v>15.384396284668943</v>
      </c>
      <c r="E43">
        <f>$C$8*POWER(D43, 2/3) - $C$9*D43</f>
        <v>0.15957346448661625</v>
      </c>
      <c r="F43">
        <f t="shared" si="0"/>
        <v>15.317934377054829</v>
      </c>
      <c r="G43" s="3">
        <f>$C$8*POWER(F43, 2/3) - $C$9*F43</f>
        <v>0.20335756316752907</v>
      </c>
      <c r="H43">
        <f>F43 + $C$10 * G43</f>
        <v>15.368773767846712</v>
      </c>
      <c r="I43">
        <f>$C$8*POWER(H43, 2/3) - $C$9*H43</f>
        <v>0.1698769015115893</v>
      </c>
      <c r="J43">
        <f>F43 + ($C$10/2) * (G43 + I43)</f>
        <v>15.364588685139719</v>
      </c>
    </row>
    <row r="44" spans="2:10">
      <c r="B44">
        <f>B43 + $C$10</f>
        <v>7.25</v>
      </c>
      <c r="C44">
        <f>POWER(2.5 - (2.5 - POWER($C$12, 1/3)) * EXP((-2/3)*B44), 3)</f>
        <v>15.371717634659502</v>
      </c>
      <c r="D44">
        <f>D43 + $C$10 * E43</f>
        <v>15.424289650790598</v>
      </c>
      <c r="E44">
        <f>$C$8*POWER(D44, 2/3) - $C$9*D44</f>
        <v>0.13323066663578942</v>
      </c>
      <c r="F44">
        <f t="shared" si="0"/>
        <v>15.364588685139719</v>
      </c>
      <c r="G44" s="3">
        <f>$C$8*POWER(F44, 2/3) - $C$9*F44</f>
        <v>0.17263586242452433</v>
      </c>
      <c r="H44">
        <f>F44 + $C$10 * G44</f>
        <v>15.407747650745851</v>
      </c>
      <c r="I44">
        <f>$C$8*POWER(H44, 2/3) - $C$9*H44</f>
        <v>0.14415944861583085</v>
      </c>
      <c r="J44">
        <f>F44 + ($C$10/2) * (G44 + I44)</f>
        <v>15.404188099019763</v>
      </c>
    </row>
    <row r="45" spans="2:10">
      <c r="B45">
        <f>B44 + $C$10</f>
        <v>7.5</v>
      </c>
      <c r="C45">
        <f>POWER(2.5 - (2.5 - POWER($C$12, 1/3)) * EXP((-2/3)*B45), 3)</f>
        <v>15.410421916078052</v>
      </c>
      <c r="D45">
        <f>D44 + $C$10 * E44</f>
        <v>15.457597317449546</v>
      </c>
      <c r="E45">
        <f>$C$8*POWER(D45, 2/3) - $C$9*D45</f>
        <v>0.111201319920049</v>
      </c>
      <c r="F45">
        <f t="shared" si="0"/>
        <v>15.404188099019763</v>
      </c>
      <c r="G45" s="3">
        <f>$C$8*POWER(F45, 2/3) - $C$9*F45</f>
        <v>0.1465100966707098</v>
      </c>
      <c r="H45">
        <f>F45 + $C$10 * G45</f>
        <v>15.44081562318744</v>
      </c>
      <c r="I45">
        <f>$C$8*POWER(H45, 2/3) - $C$9*H45</f>
        <v>0.12230456630978281</v>
      </c>
      <c r="J45">
        <f>F45 + ($C$10/2) * (G45 + I45)</f>
        <v>15.437789931892324</v>
      </c>
    </row>
    <row r="46" spans="2:10">
      <c r="B46">
        <f>B45 + $C$10</f>
        <v>7.75</v>
      </c>
      <c r="C46">
        <f>POWER(2.5 - (2.5 - POWER($C$12, 1/3)) * EXP((-2/3)*B46), 3)</f>
        <v>15.443235111716254</v>
      </c>
      <c r="D46">
        <f>D45 + $C$10 * E45</f>
        <v>15.485397647429558</v>
      </c>
      <c r="E46">
        <f>$C$8*POWER(D46, 2/3) - $C$9*D46</f>
        <v>9.2789954357755278E-2</v>
      </c>
      <c r="F46">
        <f t="shared" si="0"/>
        <v>15.437789931892324</v>
      </c>
      <c r="G46" s="3">
        <f>$C$8*POWER(F46, 2/3) - $C$9*F46</f>
        <v>0.12430558416336979</v>
      </c>
      <c r="H46">
        <f>F46 + $C$10 * G46</f>
        <v>15.468866327933167</v>
      </c>
      <c r="I46">
        <f>$C$8*POWER(H46, 2/3) - $C$9*H46</f>
        <v>0.10374086050838471</v>
      </c>
      <c r="J46">
        <f>F46 + ($C$10/2) * (G46 + I46)</f>
        <v>15.466295737476294</v>
      </c>
    </row>
    <row r="47" spans="2:10">
      <c r="B47">
        <f>B46 + $C$10</f>
        <v>8</v>
      </c>
      <c r="C47">
        <f>POWER(2.5 - (2.5 - POWER($C$12, 1/3)) * EXP((-2/3)*B47), 3)</f>
        <v>15.471047256912549</v>
      </c>
      <c r="D47">
        <f>D46 + $C$10 * E46</f>
        <v>15.508595136018997</v>
      </c>
      <c r="E47">
        <f>$C$8*POWER(D47, 2/3) - $C$9*D47</f>
        <v>7.7409889357866746E-2</v>
      </c>
      <c r="F47">
        <f t="shared" si="0"/>
        <v>15.466295737476294</v>
      </c>
      <c r="G47" s="3">
        <f>$C$8*POWER(F47, 2/3) - $C$9*F47</f>
        <v>0.10544299923717304</v>
      </c>
      <c r="H47">
        <f>F47 + $C$10 * G47</f>
        <v>15.492656487285586</v>
      </c>
      <c r="I47">
        <f>$C$8*POWER(H47, 2/3) - $C$9*H47</f>
        <v>8.7978966643490253E-2</v>
      </c>
      <c r="J47">
        <f>F47 + ($C$10/2) * (G47 + I47)</f>
        <v>15.490473483211376</v>
      </c>
    </row>
    <row r="48" spans="2:10">
      <c r="B48">
        <f>B47 + $C$10</f>
        <v>8.25</v>
      </c>
      <c r="C48">
        <f>POWER(2.5 - (2.5 - POWER($C$12, 1/3)) * EXP((-2/3)*B48), 3)</f>
        <v>15.49461580898342</v>
      </c>
      <c r="D48">
        <f>D47 + $C$10 * E47</f>
        <v>15.527947608358463</v>
      </c>
      <c r="E48">
        <f>$C$8*POWER(D48, 2/3) - $C$9*D48</f>
        <v>6.4567261785629881E-2</v>
      </c>
      <c r="F48">
        <f t="shared" si="0"/>
        <v>15.490473483211376</v>
      </c>
      <c r="G48" s="3">
        <f>$C$8*POWER(F48, 2/3) - $C$9*F48</f>
        <v>8.9425969645841263E-2</v>
      </c>
      <c r="H48">
        <f>F48 + $C$10 * G48</f>
        <v>15.512829975622836</v>
      </c>
      <c r="I48">
        <f>$C$8*POWER(H48, 2/3) - $C$9*H48</f>
        <v>7.4600497275991273E-2</v>
      </c>
      <c r="J48">
        <f>F48 + ($C$10/2) * (G48 + I48)</f>
        <v>15.510976791576606</v>
      </c>
    </row>
    <row r="49" spans="2:10">
      <c r="B49">
        <f>B48 + $C$10</f>
        <v>8.5</v>
      </c>
      <c r="C49">
        <f>POWER(2.5 - (2.5 - POWER($C$12, 1/3)) * EXP((-2/3)*B49), 3)</f>
        <v>15.514584853895897</v>
      </c>
      <c r="D49">
        <f>D48 + $C$10 * E48</f>
        <v>15.54408942380487</v>
      </c>
      <c r="E49">
        <f>$C$8*POWER(D49, 2/3) - $C$9*D49</f>
        <v>5.3847063119700778E-2</v>
      </c>
      <c r="F49">
        <f t="shared" si="0"/>
        <v>15.510976791576606</v>
      </c>
      <c r="G49" s="3">
        <f>$C$8*POWER(F49, 2/3) - $C$9*F49</f>
        <v>7.5829962737330447E-2</v>
      </c>
      <c r="H49">
        <f>F49 + $C$10 * G49</f>
        <v>15.529934282260939</v>
      </c>
      <c r="I49">
        <f>$C$8*POWER(H49, 2/3) - $C$9*H49</f>
        <v>6.324826315434251E-2</v>
      </c>
      <c r="J49">
        <f>F49 + ($C$10/2) * (G49 + I49)</f>
        <v>15.528361569813065</v>
      </c>
    </row>
    <row r="50" spans="2:10">
      <c r="B50">
        <f>B49 + $C$10</f>
        <v>8.75</v>
      </c>
      <c r="C50">
        <f>POWER(2.5 - (2.5 - POWER($C$12, 1/3)) * EXP((-2/3)*B50), 3)</f>
        <v>15.53150168776993</v>
      </c>
      <c r="D50">
        <f>D49 + $C$10 * E49</f>
        <v>15.557551189584796</v>
      </c>
      <c r="E50">
        <f>$C$8*POWER(D50, 2/3) - $C$9*D50</f>
        <v>4.4901047410228045E-2</v>
      </c>
      <c r="F50">
        <f t="shared" si="0"/>
        <v>15.528361569813065</v>
      </c>
      <c r="G50" s="3">
        <f>$C$8*POWER(F50, 2/3) - $C$9*F50</f>
        <v>6.4292432562773172E-2</v>
      </c>
      <c r="H50">
        <f>F50 + $C$10 * G50</f>
        <v>15.544434677953758</v>
      </c>
      <c r="I50">
        <f>$C$8*POWER(H50, 2/3) - $C$9*H50</f>
        <v>5.3617689321587392E-2</v>
      </c>
      <c r="J50">
        <f>F50 + ($C$10/2) * (G50 + I50)</f>
        <v>15.54310033504861</v>
      </c>
    </row>
    <row r="51" spans="2:10">
      <c r="B51">
        <f>B50 + $C$10</f>
        <v>9</v>
      </c>
      <c r="C51">
        <f>POWER(2.5 - (2.5 - POWER($C$12, 1/3)) * EXP((-2/3)*B51), 3)</f>
        <v>15.545831085170796</v>
      </c>
      <c r="D51">
        <f>D50 + $C$10 * E50</f>
        <v>15.568776451437353</v>
      </c>
      <c r="E51">
        <f>$C$8*POWER(D51, 2/3) - $C$9*D51</f>
        <v>3.7437335971024055E-2</v>
      </c>
      <c r="F51">
        <f t="shared" si="0"/>
        <v>15.54310033504861</v>
      </c>
      <c r="G51" s="3">
        <f>$C$8*POWER(F51, 2/3) - $C$9*F51</f>
        <v>5.4504157378499229E-2</v>
      </c>
      <c r="H51">
        <f>F51 + $C$10 * G51</f>
        <v>15.556726374393236</v>
      </c>
      <c r="I51">
        <f>$C$8*POWER(H51, 2/3) - $C$9*H51</f>
        <v>4.5449327459223809E-2</v>
      </c>
      <c r="J51">
        <f>F51 + ($C$10/2) * (G51 + I51)</f>
        <v>15.555594520653326</v>
      </c>
    </row>
    <row r="52" spans="2:10">
      <c r="B52">
        <f>B51 + $C$10</f>
        <v>9.25</v>
      </c>
      <c r="C52">
        <f>POWER(2.5 - (2.5 - POWER($C$12, 1/3)) * EXP((-2/3)*B52), 3)</f>
        <v>15.557967543824773</v>
      </c>
      <c r="D52">
        <f>D51 + $C$10 * E51</f>
        <v>15.57813578543011</v>
      </c>
      <c r="E52">
        <f>$C$8*POWER(D52, 2/3) - $C$9*D52</f>
        <v>3.1211532381277607E-2</v>
      </c>
      <c r="F52">
        <f t="shared" si="0"/>
        <v>15.555594520653326</v>
      </c>
      <c r="G52" s="3">
        <f>$C$8*POWER(F52, 2/3) - $C$9*F52</f>
        <v>4.6201673801050447E-2</v>
      </c>
      <c r="H52">
        <f>F52 + $C$10 * G52</f>
        <v>15.567144939103589</v>
      </c>
      <c r="I52">
        <f>$C$8*POWER(H52, 2/3) - $C$9*H52</f>
        <v>3.8522357349982883E-2</v>
      </c>
      <c r="J52">
        <f>F52 + ($C$10/2) * (G52 + I52)</f>
        <v>15.566185024547206</v>
      </c>
    </row>
    <row r="53" spans="2:10">
      <c r="B53">
        <f>B52 + $C$10</f>
        <v>9.5</v>
      </c>
      <c r="C53">
        <f>POWER(2.5 - (2.5 - POWER($C$12, 1/3)) * EXP((-2/3)*B53), 3)</f>
        <v>15.568245769341994</v>
      </c>
      <c r="D53">
        <f>D52 + $C$10 * E52</f>
        <v>15.585938668525429</v>
      </c>
      <c r="E53">
        <f>$C$8*POWER(D53, 2/3) - $C$9*D53</f>
        <v>2.6019163413458557E-2</v>
      </c>
      <c r="F53">
        <f t="shared" si="0"/>
        <v>15.566185024547206</v>
      </c>
      <c r="G53" s="3">
        <f>$C$8*POWER(F53, 2/3) - $C$9*F53</f>
        <v>3.9160703618417614E-2</v>
      </c>
      <c r="H53">
        <f>F53 + $C$10 * G53</f>
        <v>15.575975200451811</v>
      </c>
      <c r="I53">
        <f>$C$8*POWER(H53, 2/3) - $C$9*H53</f>
        <v>3.2648969815596729E-2</v>
      </c>
      <c r="J53">
        <f>F53 + ($C$10/2) * (G53 + I53)</f>
        <v>15.575161233726458</v>
      </c>
    </row>
    <row r="54" spans="2:10">
      <c r="B54">
        <f>B53 + $C$10</f>
        <v>9.75</v>
      </c>
      <c r="C54">
        <f>POWER(2.5 - (2.5 - POWER($C$12, 1/3)) * EXP((-2/3)*B54), 3)</f>
        <v>15.576949636318643</v>
      </c>
      <c r="D54">
        <f>D53 + $C$10 * E53</f>
        <v>15.592443459378794</v>
      </c>
      <c r="E54">
        <f>$C$8*POWER(D54, 2/3) - $C$9*D54</f>
        <v>2.1689271900974916E-2</v>
      </c>
      <c r="F54">
        <f t="shared" si="0"/>
        <v>15.575161233726458</v>
      </c>
      <c r="G54" s="3">
        <f>$C$8*POWER(F54, 2/3) - $C$9*F54</f>
        <v>3.3190467393605871E-2</v>
      </c>
      <c r="H54">
        <f>F54 + $C$10 * G54</f>
        <v>15.583458850574861</v>
      </c>
      <c r="I54">
        <f>$C$8*POWER(H54, 2/3) - $C$9*H54</f>
        <v>2.7669527750617817E-2</v>
      </c>
      <c r="J54">
        <f>F54 + ($C$10/2) * (G54 + I54)</f>
        <v>15.582768733119487</v>
      </c>
    </row>
    <row r="55" spans="2:10">
      <c r="B55">
        <f>B54 + $C$10</f>
        <v>10</v>
      </c>
      <c r="C55">
        <f>POWER(2.5 - (2.5 - POWER($C$12, 1/3)) * EXP((-2/3)*B55), 3)</f>
        <v>15.584319835435055</v>
      </c>
      <c r="D55">
        <f>D54 + $C$10 * E54</f>
        <v>15.597865777354038</v>
      </c>
      <c r="E55">
        <f>$C$8*POWER(D55, 2/3) - $C$9*D55</f>
        <v>1.8079002334594918E-2</v>
      </c>
      <c r="F55">
        <f t="shared" si="0"/>
        <v>15.582768733119487</v>
      </c>
      <c r="G55" s="3">
        <f>$C$8*POWER(F55, 2/3) - $C$9*F55</f>
        <v>2.8128782355075543E-2</v>
      </c>
      <c r="H55">
        <f>F55 + $C$10 * G55</f>
        <v>15.589800928708256</v>
      </c>
      <c r="I55">
        <f>$C$8*POWER(H55, 2/3) - $C$9*H55</f>
        <v>2.3448408889805705E-2</v>
      </c>
      <c r="J55">
        <f>F55 + ($C$10/2) * (G55 + I55)</f>
        <v>15.589215882025098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6753-C863-47C3-9839-7FCD30B0EC30}">
  <dimension ref="A1"/>
  <sheetViews>
    <sheetView tabSelected="1" workbookViewId="0"/>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ORGANISMOS</vt:lpstr>
      <vt:lpstr>PEZ</vt:lpstr>
      <vt:lpstr>CONCLUSIÓN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waraalecruz21@gmail.com</cp:lastModifiedBy>
  <dcterms:created xsi:type="dcterms:W3CDTF">2025-12-04T01:50:00Z</dcterms:created>
  <dcterms:modified xsi:type="dcterms:W3CDTF">2025-12-04T05:41:56Z</dcterms:modified>
</cp:coreProperties>
</file>